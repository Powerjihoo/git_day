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OUPC\Desktop\지후\공부\git_day\6회사보충\"/>
    </mc:Choice>
  </mc:AlternateContent>
  <xr:revisionPtr revIDLastSave="0" documentId="13_ncr:1_{9640A076-8B5F-4CFA-8A98-346D5A027D6E}" xr6:coauthVersionLast="46" xr6:coauthVersionMax="46" xr10:uidLastSave="{00000000-0000-0000-0000-000000000000}"/>
  <bookViews>
    <workbookView xWindow="-120" yWindow="-120" windowWidth="29040" windowHeight="15720" activeTab="2" xr2:uid="{8DB67CA5-226A-433A-AC0A-C2258A8D7DFE}"/>
  </bookViews>
  <sheets>
    <sheet name="ARIMA계산과정" sheetId="8" r:id="rId1"/>
    <sheet name="MA추가예정" sheetId="10" r:id="rId2"/>
    <sheet name="ARIMA_test" sheetId="1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7" i="12" l="1"/>
  <c r="C17" i="12"/>
  <c r="Q66" i="12"/>
  <c r="N66" i="12"/>
  <c r="C66" i="12"/>
  <c r="N65" i="12"/>
  <c r="O66" i="12" s="1"/>
  <c r="C65" i="12"/>
  <c r="N64" i="12"/>
  <c r="O65" i="12" s="1"/>
  <c r="C64" i="12"/>
  <c r="N63" i="12"/>
  <c r="O64" i="12" s="1"/>
  <c r="C63" i="12"/>
  <c r="N62" i="12"/>
  <c r="O63" i="12" s="1"/>
  <c r="C62" i="12"/>
  <c r="N61" i="12"/>
  <c r="O62" i="12" s="1"/>
  <c r="C61" i="12"/>
  <c r="N60" i="12"/>
  <c r="O61" i="12" s="1"/>
  <c r="C60" i="12"/>
  <c r="N59" i="12"/>
  <c r="O60" i="12" s="1"/>
  <c r="C59" i="12"/>
  <c r="N58" i="12"/>
  <c r="O59" i="12" s="1"/>
  <c r="C58" i="12"/>
  <c r="N57" i="12"/>
  <c r="O58" i="12" s="1"/>
  <c r="C57" i="12"/>
  <c r="N56" i="12"/>
  <c r="O57" i="12" s="1"/>
  <c r="C56" i="12"/>
  <c r="N55" i="12"/>
  <c r="O56" i="12" s="1"/>
  <c r="C55" i="12"/>
  <c r="N54" i="12"/>
  <c r="O55" i="12" s="1"/>
  <c r="C54" i="12"/>
  <c r="N53" i="12"/>
  <c r="O54" i="12" s="1"/>
  <c r="C53" i="12"/>
  <c r="N52" i="12"/>
  <c r="O53" i="12" s="1"/>
  <c r="C52" i="12"/>
  <c r="N51" i="12"/>
  <c r="O52" i="12" s="1"/>
  <c r="C51" i="12"/>
  <c r="N50" i="12"/>
  <c r="O51" i="12" s="1"/>
  <c r="C50" i="12"/>
  <c r="N49" i="12"/>
  <c r="O50" i="12" s="1"/>
  <c r="C49" i="12"/>
  <c r="N48" i="12"/>
  <c r="O49" i="12" s="1"/>
  <c r="C48" i="12"/>
  <c r="C16" i="12"/>
  <c r="C15" i="12"/>
  <c r="C14" i="12"/>
  <c r="C13" i="12"/>
  <c r="C12" i="12"/>
  <c r="C11" i="12"/>
  <c r="C10" i="12"/>
  <c r="C9" i="12"/>
  <c r="C8" i="12"/>
  <c r="C7" i="12"/>
  <c r="F47" i="12" l="1" a="1"/>
  <c r="G47" i="12" s="1"/>
  <c r="R6" i="12" a="1"/>
  <c r="F6" i="12" a="1"/>
  <c r="G6" i="12" s="1"/>
  <c r="S47" i="12" a="1"/>
  <c r="J25" i="10"/>
  <c r="D25" i="10"/>
  <c r="C25" i="10"/>
  <c r="C24" i="10"/>
  <c r="D23" i="10"/>
  <c r="E23" i="10" s="1"/>
  <c r="C23" i="10"/>
  <c r="D24" i="10" s="1"/>
  <c r="D22" i="10"/>
  <c r="C22" i="10"/>
  <c r="C21" i="10"/>
  <c r="D20" i="10"/>
  <c r="E20" i="10" s="1"/>
  <c r="C20" i="10"/>
  <c r="D21" i="10" s="1"/>
  <c r="D19" i="10"/>
  <c r="C19" i="10"/>
  <c r="C18" i="10"/>
  <c r="G17" i="10"/>
  <c r="D17" i="10"/>
  <c r="E17" i="10" s="1"/>
  <c r="C17" i="10"/>
  <c r="D16" i="10"/>
  <c r="C16" i="10"/>
  <c r="C15" i="10"/>
  <c r="D14" i="10"/>
  <c r="C14" i="10"/>
  <c r="D15" i="10" s="1"/>
  <c r="D13" i="10"/>
  <c r="C13" i="10"/>
  <c r="C12" i="10"/>
  <c r="D11" i="10"/>
  <c r="C11" i="10"/>
  <c r="D12" i="10" s="1"/>
  <c r="D10" i="10"/>
  <c r="C10" i="10"/>
  <c r="C9" i="10"/>
  <c r="C8" i="10"/>
  <c r="D9" i="10" s="1"/>
  <c r="C7" i="10"/>
  <c r="D8" i="10" s="1"/>
  <c r="O66" i="8"/>
  <c r="L49" i="8"/>
  <c r="M50" i="8" s="1"/>
  <c r="L50" i="8"/>
  <c r="M51" i="8" s="1"/>
  <c r="L51" i="8"/>
  <c r="M52" i="8" s="1"/>
  <c r="L52" i="8"/>
  <c r="M53" i="8" s="1"/>
  <c r="L53" i="8"/>
  <c r="M54" i="8" s="1"/>
  <c r="L54" i="8"/>
  <c r="M55" i="8" s="1"/>
  <c r="L55" i="8"/>
  <c r="M56" i="8" s="1"/>
  <c r="L56" i="8"/>
  <c r="M57" i="8" s="1"/>
  <c r="L57" i="8"/>
  <c r="M58" i="8" s="1"/>
  <c r="L58" i="8"/>
  <c r="M59" i="8" s="1"/>
  <c r="L59" i="8"/>
  <c r="M60" i="8" s="1"/>
  <c r="L60" i="8"/>
  <c r="M61" i="8" s="1"/>
  <c r="L61" i="8"/>
  <c r="M62" i="8" s="1"/>
  <c r="L62" i="8"/>
  <c r="M63" i="8" s="1"/>
  <c r="L63" i="8"/>
  <c r="M64" i="8" s="1"/>
  <c r="L64" i="8"/>
  <c r="M65" i="8" s="1"/>
  <c r="L65" i="8"/>
  <c r="M66" i="8" s="1"/>
  <c r="L66" i="8"/>
  <c r="L48" i="8"/>
  <c r="M49" i="8" s="1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48" i="8"/>
  <c r="L16" i="8"/>
  <c r="M17" i="8" s="1"/>
  <c r="N18" i="8" s="1"/>
  <c r="O19" i="8" s="1"/>
  <c r="L17" i="8"/>
  <c r="M18" i="8" s="1"/>
  <c r="N19" i="8" s="1"/>
  <c r="O20" i="8" s="1"/>
  <c r="L18" i="8"/>
  <c r="M19" i="8" s="1"/>
  <c r="N20" i="8" s="1"/>
  <c r="O21" i="8" s="1"/>
  <c r="C21" i="8"/>
  <c r="C22" i="8"/>
  <c r="C23" i="8"/>
  <c r="C24" i="8"/>
  <c r="C25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7" i="8"/>
  <c r="F47" i="12" l="1"/>
  <c r="D57" i="12" s="1"/>
  <c r="V6" i="12"/>
  <c r="U6" i="12"/>
  <c r="T6" i="12"/>
  <c r="S6" i="12"/>
  <c r="R6" i="12"/>
  <c r="F6" i="12"/>
  <c r="T47" i="12"/>
  <c r="S47" i="12"/>
  <c r="E24" i="10"/>
  <c r="F24" i="10" s="1"/>
  <c r="G25" i="10" s="1"/>
  <c r="I25" i="10" s="1" a="1"/>
  <c r="I25" i="10" s="1"/>
  <c r="J24" i="10" s="1"/>
  <c r="F17" i="10"/>
  <c r="G18" i="10" s="1"/>
  <c r="E21" i="10"/>
  <c r="F21" i="10" s="1"/>
  <c r="G22" i="10" s="1"/>
  <c r="I22" i="10" s="1" a="1"/>
  <c r="I22" i="10" s="1"/>
  <c r="J21" i="10" s="1"/>
  <c r="H6" i="10" a="1"/>
  <c r="E22" i="10"/>
  <c r="F22" i="10" s="1"/>
  <c r="G23" i="10" s="1"/>
  <c r="I23" i="10" s="1" a="1"/>
  <c r="I23" i="10" s="1"/>
  <c r="J22" i="10" s="1"/>
  <c r="E25" i="10"/>
  <c r="F25" i="10" s="1"/>
  <c r="D18" i="10"/>
  <c r="E19" i="10"/>
  <c r="F19" i="10" s="1"/>
  <c r="G20" i="10" s="1"/>
  <c r="I20" i="10" s="1" a="1"/>
  <c r="I20" i="10" s="1"/>
  <c r="J19" i="10" s="1"/>
  <c r="F20" i="10"/>
  <c r="G21" i="10" s="1"/>
  <c r="I21" i="10" s="1" a="1"/>
  <c r="I21" i="10" s="1"/>
  <c r="J20" i="10" s="1"/>
  <c r="F23" i="10"/>
  <c r="G24" i="10" s="1"/>
  <c r="I24" i="10" s="1" a="1"/>
  <c r="I24" i="10" s="1"/>
  <c r="J23" i="10" s="1"/>
  <c r="F47" i="8" a="1"/>
  <c r="F47" i="8" s="1"/>
  <c r="Q47" i="8" a="1"/>
  <c r="Q47" i="8" s="1"/>
  <c r="F6" i="8" a="1"/>
  <c r="F6" i="8" s="1"/>
  <c r="L8" i="8"/>
  <c r="M9" i="8" s="1"/>
  <c r="N10" i="8" s="1"/>
  <c r="O11" i="8" s="1"/>
  <c r="L9" i="8"/>
  <c r="M10" i="8" s="1"/>
  <c r="N11" i="8" s="1"/>
  <c r="O12" i="8" s="1"/>
  <c r="L10" i="8"/>
  <c r="L11" i="8"/>
  <c r="M12" i="8" s="1"/>
  <c r="N13" i="8" s="1"/>
  <c r="O14" i="8" s="1"/>
  <c r="L12" i="8"/>
  <c r="M13" i="8" s="1"/>
  <c r="N14" i="8" s="1"/>
  <c r="O15" i="8" s="1"/>
  <c r="L13" i="8"/>
  <c r="M14" i="8" s="1"/>
  <c r="N15" i="8" s="1"/>
  <c r="O16" i="8" s="1"/>
  <c r="L14" i="8"/>
  <c r="M15" i="8" s="1"/>
  <c r="N16" i="8" s="1"/>
  <c r="O17" i="8" s="1"/>
  <c r="L15" i="8"/>
  <c r="M16" i="8" s="1"/>
  <c r="N17" i="8" s="1"/>
  <c r="O18" i="8" s="1"/>
  <c r="L7" i="8"/>
  <c r="M8" i="8" s="1"/>
  <c r="N9" i="8" s="1"/>
  <c r="O10" i="8" s="1"/>
  <c r="D64" i="12" l="1"/>
  <c r="D63" i="12"/>
  <c r="D62" i="12"/>
  <c r="D59" i="12"/>
  <c r="D66" i="12"/>
  <c r="D61" i="12"/>
  <c r="D65" i="12"/>
  <c r="D58" i="12"/>
  <c r="D60" i="12"/>
  <c r="P22" i="12"/>
  <c r="P16" i="12"/>
  <c r="P23" i="12"/>
  <c r="P17" i="12"/>
  <c r="P24" i="12"/>
  <c r="P18" i="12"/>
  <c r="P25" i="12"/>
  <c r="P19" i="12"/>
  <c r="P20" i="12"/>
  <c r="P21" i="12"/>
  <c r="D16" i="12"/>
  <c r="D17" i="12"/>
  <c r="P66" i="12"/>
  <c r="Q65" i="12" s="1"/>
  <c r="P65" i="12"/>
  <c r="Q64" i="12" s="1"/>
  <c r="P64" i="12"/>
  <c r="Q63" i="12" s="1"/>
  <c r="P63" i="12"/>
  <c r="Q62" i="12" s="1"/>
  <c r="P62" i="12"/>
  <c r="Q61" i="12" s="1"/>
  <c r="P61" i="12"/>
  <c r="Q60" i="12" s="1"/>
  <c r="P60" i="12"/>
  <c r="Q59" i="12" s="1"/>
  <c r="P59" i="12"/>
  <c r="Q58" i="12" s="1"/>
  <c r="P58" i="12"/>
  <c r="E18" i="10"/>
  <c r="F18" i="10" s="1"/>
  <c r="I18" i="10" a="1"/>
  <c r="I18" i="10" s="1"/>
  <c r="J17" i="10" s="1"/>
  <c r="I6" i="10"/>
  <c r="H6" i="10"/>
  <c r="G47" i="8"/>
  <c r="D57" i="8" s="1"/>
  <c r="G6" i="8"/>
  <c r="D25" i="8" s="1"/>
  <c r="R47" i="8"/>
  <c r="M11" i="8"/>
  <c r="N12" i="8" s="1"/>
  <c r="O13" i="8" s="1"/>
  <c r="C19" i="12" l="1"/>
  <c r="D19" i="12" s="1"/>
  <c r="C21" i="12" s="1"/>
  <c r="D21" i="12" s="1"/>
  <c r="C18" i="12"/>
  <c r="D18" i="12" s="1"/>
  <c r="D24" i="8"/>
  <c r="G19" i="10"/>
  <c r="I19" i="10" s="1" a="1"/>
  <c r="I19" i="10" s="1"/>
  <c r="J18" i="10" s="1"/>
  <c r="D22" i="8"/>
  <c r="D19" i="8"/>
  <c r="D18" i="8"/>
  <c r="D59" i="8"/>
  <c r="D23" i="8"/>
  <c r="D61" i="8"/>
  <c r="D20" i="8"/>
  <c r="D65" i="8"/>
  <c r="D58" i="8"/>
  <c r="D60" i="8"/>
  <c r="D64" i="8"/>
  <c r="D17" i="8"/>
  <c r="D21" i="8"/>
  <c r="D62" i="8"/>
  <c r="D16" i="8"/>
  <c r="D66" i="8"/>
  <c r="D63" i="8"/>
  <c r="N61" i="8"/>
  <c r="O60" i="8" s="1"/>
  <c r="N58" i="8"/>
  <c r="N59" i="8"/>
  <c r="O58" i="8" s="1"/>
  <c r="N62" i="8"/>
  <c r="O61" i="8" s="1"/>
  <c r="N60" i="8"/>
  <c r="O59" i="8" s="1"/>
  <c r="N63" i="8"/>
  <c r="O62" i="8" s="1"/>
  <c r="N65" i="8"/>
  <c r="O64" i="8" s="1"/>
  <c r="N66" i="8"/>
  <c r="O65" i="8" s="1"/>
  <c r="N64" i="8"/>
  <c r="O63" i="8" s="1"/>
  <c r="R6" i="8" a="1"/>
  <c r="C20" i="12" l="1"/>
  <c r="D20" i="12" s="1"/>
  <c r="C22" i="12" s="1"/>
  <c r="D22" i="12" s="1"/>
  <c r="C24" i="12" s="1"/>
  <c r="D24" i="12" s="1"/>
  <c r="C23" i="12"/>
  <c r="D23" i="12" s="1"/>
  <c r="H18" i="10" a="1"/>
  <c r="H18" i="10" s="1"/>
  <c r="U6" i="8"/>
  <c r="R6" i="8"/>
  <c r="T6" i="8"/>
  <c r="S6" i="8"/>
  <c r="V6" i="8"/>
  <c r="C25" i="12" l="1"/>
  <c r="D25" i="12" s="1"/>
  <c r="P16" i="8"/>
  <c r="P17" i="8"/>
  <c r="P18" i="8"/>
  <c r="L19" i="8" s="1"/>
  <c r="M20" i="8" s="1"/>
  <c r="N21" i="8" s="1"/>
  <c r="O22" i="8" s="1"/>
  <c r="P19" i="8" l="1"/>
  <c r="L20" i="8" l="1"/>
  <c r="M21" i="8" l="1"/>
  <c r="N22" i="8" s="1"/>
  <c r="O23" i="8" s="1"/>
  <c r="P20" i="8"/>
  <c r="L21" i="8" l="1"/>
  <c r="M22" i="8" l="1"/>
  <c r="N23" i="8" s="1"/>
  <c r="O24" i="8" s="1"/>
  <c r="P21" i="8"/>
  <c r="L22" i="8" l="1"/>
  <c r="M23" i="8" l="1"/>
  <c r="N24" i="8" s="1"/>
  <c r="O25" i="8" s="1"/>
  <c r="P22" i="8"/>
  <c r="L23" i="8" l="1"/>
  <c r="M24" i="8" l="1"/>
  <c r="N25" i="8" s="1"/>
  <c r="P23" i="8"/>
  <c r="L24" i="8" l="1"/>
  <c r="M25" i="8" l="1"/>
  <c r="P24" i="8"/>
  <c r="L25" i="8" s="1"/>
  <c r="P25" i="8" l="1"/>
</calcChain>
</file>

<file path=xl/sharedStrings.xml><?xml version="1.0" encoding="utf-8"?>
<sst xmlns="http://schemas.openxmlformats.org/spreadsheetml/2006/main" count="106" uniqueCount="39">
  <si>
    <t>예측값</t>
    <phoneticPr fontId="2" type="noConversion"/>
  </si>
  <si>
    <t>상수</t>
    <phoneticPr fontId="2" type="noConversion"/>
  </si>
  <si>
    <t>y</t>
    <phoneticPr fontId="2" type="noConversion"/>
  </si>
  <si>
    <t>ARIMA(P,D,Q = 4,0,0) Example</t>
    <phoneticPr fontId="2" type="noConversion"/>
  </si>
  <si>
    <t>4번째마다 값이 상승하는 패턴이 있는경우 4번째 이전까지의 자기회귀를 할수 있게 P를 4로 설정함</t>
    <phoneticPr fontId="2" type="noConversion"/>
  </si>
  <si>
    <t>ARIMA(P,D,Q = 1,0,0) Example</t>
    <phoneticPr fontId="2" type="noConversion"/>
  </si>
  <si>
    <t>값이 점진적으로 상승하며 직전값의 영향을 많이 받을때</t>
    <phoneticPr fontId="2" type="noConversion"/>
  </si>
  <si>
    <t>ARIMA(P,D,Q = 1,1,1) Example</t>
    <phoneticPr fontId="2" type="noConversion"/>
  </si>
  <si>
    <t>yt-1</t>
    <phoneticPr fontId="2" type="noConversion"/>
  </si>
  <si>
    <t>yt-2</t>
  </si>
  <si>
    <t>yt-3</t>
  </si>
  <si>
    <t>yt-4</t>
  </si>
  <si>
    <t>ARIMA(P,D,Q = 1,1,0) Example</t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</si>
  <si>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1*yt-1+</t>
    </r>
    <r>
      <rPr>
        <sz val="11"/>
        <color theme="1"/>
        <rFont val="Segoe UI"/>
        <family val="2"/>
        <charset val="161"/>
      </rPr>
      <t>ϕ2*yt-2+ϕ3*yt-3+ϕ4*yt-4</t>
    </r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</si>
  <si>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</t>
    </r>
    <phoneticPr fontId="2" type="noConversion"/>
  </si>
  <si>
    <t>time</t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</si>
  <si>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   == 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 xml:space="preserve">1*10.6 </t>
    </r>
    <phoneticPr fontId="2" type="noConversion"/>
  </si>
  <si>
    <t>y,yt-1로 자기회귀계수확인</t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</si>
  <si>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4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</si>
  <si>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3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</si>
  <si>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2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</si>
  <si>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  <scheme val="minor"/>
      </rPr>
      <t>1</t>
    </r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</si>
  <si>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1*1.3+</t>
    </r>
    <r>
      <rPr>
        <sz val="11"/>
        <color theme="1"/>
        <rFont val="Segoe UI"/>
        <family val="2"/>
        <charset val="161"/>
      </rPr>
      <t>ϕ2*4.4+ϕ3*3.5+ϕ4*1.1</t>
    </r>
    <phoneticPr fontId="2" type="noConversion"/>
  </si>
  <si>
    <t>예측값</t>
    <phoneticPr fontId="2" type="noConversion"/>
  </si>
  <si>
    <t>차분</t>
    <phoneticPr fontId="2" type="noConversion"/>
  </si>
  <si>
    <t>역차분</t>
    <phoneticPr fontId="2" type="noConversion"/>
  </si>
  <si>
    <t>데이터가 정상성이 없어 예측이 어려움</t>
    <phoneticPr fontId="2" type="noConversion"/>
  </si>
  <si>
    <t>차분을 통해 정상성 확보후 예측진행</t>
    <phoneticPr fontId="2" type="noConversion"/>
  </si>
  <si>
    <t>비정상적인 데이터의 차분 비교</t>
    <phoneticPr fontId="2" type="noConversion"/>
  </si>
  <si>
    <t>값이 선형적으로 바뀌며 직전값의 영향을 많이 받을때</t>
    <phoneticPr fontId="2" type="noConversion"/>
  </si>
  <si>
    <t>;</t>
    <phoneticPr fontId="2" type="noConversion"/>
  </si>
  <si>
    <t>학습데이터를 잘 설명하는 자기회귀계수와 상수항 구하기</t>
    <phoneticPr fontId="2" type="noConversion"/>
  </si>
  <si>
    <t>값이 선형적으로 변화하여 이전값에 영향을 많이 받는다면
p를 1로 설정하여 이전의 데이터를 사용하여
다음 데이터를 잘 예측하는 계수를 구하고
주기적으로 상승, 하락하는 데이터의 경우
해당패턴이 있는 주기수 만큼을 P로 설정하여
변화되는 패턴을 학습시킨다.</t>
    <phoneticPr fontId="2" type="noConversion"/>
  </si>
  <si>
    <t>ARIMA 파라미터 선정과정</t>
    <phoneticPr fontId="2" type="noConversion"/>
  </si>
  <si>
    <t xml:space="preserve"> 2. 회귀계수 확인</t>
    <phoneticPr fontId="2" type="noConversion"/>
  </si>
  <si>
    <t>3. 데이터의 정상성 확인하기</t>
    <phoneticPr fontId="2" type="noConversion"/>
  </si>
  <si>
    <t>만약 데이터가 비정상성을 띄고 있다면
차분을 통해 계절성과 추세를 제거한 후 예측을 진행</t>
    <phoneticPr fontId="2" type="noConversion"/>
  </si>
  <si>
    <t xml:space="preserve"> 1.  값의 변화 확인(p 설정값 확인)
</t>
    <phoneticPr fontId="2" type="noConversion"/>
  </si>
  <si>
    <t>상수값과 4개의 자기회귀계수를 계산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</si>
</sst>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Segoe UI"/>
      <family val="2"/>
      <charset val="161"/>
    </font>
    <font>
      <sz val="11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rgb="FF9C5700"/>
      <name val="맑은 고딕"/>
      <family val="3"/>
      <charset val="129"/>
      <scheme val="minor"/>
    </font>
    <font>
      <b/>
      <sz val="11"/>
      <color theme="1"/>
      <name val="맑은 고딕"/>
      <family val="2"/>
      <charset val="161"/>
    </font>
    <font>
      <b/>
      <sz val="11"/>
      <color theme="1"/>
      <name val="Segoe UI"/>
      <family val="2"/>
      <charset val="161"/>
    </font>
    <font>
      <b/>
      <sz val="11"/>
      <color theme="1"/>
      <name val="맑은 고딕"/>
      <family val="2"/>
      <charset val="129"/>
    </font>
    <font>
      <b/>
      <sz val="11"/>
      <color theme="1"/>
      <name val="맑은 고딕"/>
      <family val="2"/>
      <charset val="161"/>
      <scheme val="minor"/>
    </font>
    <font>
      <b/>
      <sz val="14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5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3" fillId="0" borderId="0" xfId="0" applyFont="1">
      <alignment vertical="center"/>
    </xf>
    <xf numFmtId="0" fontId="5" fillId="5" borderId="0" xfId="4" applyBorder="1">
      <alignment vertical="center"/>
    </xf>
    <xf numFmtId="0" fontId="0" fillId="0" borderId="0" xfId="0" quotePrefix="1">
      <alignment vertical="center"/>
    </xf>
    <xf numFmtId="0" fontId="0" fillId="0" borderId="0" xfId="0" applyAlignment="1">
      <alignment vertical="center" wrapText="1"/>
    </xf>
    <xf numFmtId="0" fontId="5" fillId="4" borderId="0" xfId="3" applyBorder="1" applyAlignment="1">
      <alignment vertical="center" wrapText="1"/>
    </xf>
    <xf numFmtId="0" fontId="6" fillId="3" borderId="0" xfId="2" applyBorder="1">
      <alignment vertical="center"/>
    </xf>
    <xf numFmtId="0" fontId="6" fillId="3" borderId="3" xfId="2" applyBorder="1">
      <alignment vertical="center"/>
    </xf>
    <xf numFmtId="0" fontId="6" fillId="3" borderId="0" xfId="2" applyBorder="1" applyAlignment="1">
      <alignment vertical="center" wrapText="1"/>
    </xf>
    <xf numFmtId="0" fontId="8" fillId="3" borderId="0" xfId="2" applyFont="1" applyBorder="1">
      <alignment vertical="center"/>
    </xf>
    <xf numFmtId="0" fontId="8" fillId="3" borderId="3" xfId="2" applyFont="1" applyBorder="1">
      <alignment vertical="center"/>
    </xf>
    <xf numFmtId="0" fontId="8" fillId="3" borderId="0" xfId="2" applyFont="1" applyBorder="1" applyAlignment="1">
      <alignment vertical="center" wrapText="1"/>
    </xf>
    <xf numFmtId="0" fontId="3" fillId="0" borderId="2" xfId="0" applyFont="1" applyBorder="1">
      <alignment vertical="center"/>
    </xf>
    <xf numFmtId="0" fontId="9" fillId="0" borderId="0" xfId="0" applyFont="1">
      <alignment vertical="center"/>
    </xf>
    <xf numFmtId="0" fontId="12" fillId="0" borderId="0" xfId="0" applyFont="1">
      <alignment vertical="center"/>
    </xf>
    <xf numFmtId="0" fontId="7" fillId="0" borderId="3" xfId="0" applyFont="1" applyBorder="1">
      <alignment vertical="center"/>
    </xf>
    <xf numFmtId="0" fontId="7" fillId="0" borderId="2" xfId="0" applyFont="1" applyBorder="1">
      <alignment vertical="center"/>
    </xf>
    <xf numFmtId="0" fontId="7" fillId="0" borderId="0" xfId="0" applyFont="1">
      <alignment vertical="center"/>
    </xf>
    <xf numFmtId="0" fontId="1" fillId="2" borderId="7" xfId="1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0" fontId="1" fillId="2" borderId="9" xfId="1" applyBorder="1" applyAlignment="1">
      <alignment horizontal="center" vertical="center"/>
    </xf>
    <xf numFmtId="0" fontId="1" fillId="2" borderId="2" xfId="1" applyBorder="1" applyAlignment="1">
      <alignment horizontal="center" vertical="center"/>
    </xf>
    <xf numFmtId="0" fontId="1" fillId="2" borderId="0" xfId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2" borderId="7" xfId="1" applyFont="1" applyBorder="1" applyAlignment="1">
      <alignment horizontal="center" vertical="center"/>
    </xf>
    <xf numFmtId="0" fontId="13" fillId="2" borderId="8" xfId="1" applyFont="1" applyBorder="1" applyAlignment="1">
      <alignment horizontal="center" vertical="center"/>
    </xf>
    <xf numFmtId="0" fontId="13" fillId="2" borderId="9" xfId="1" applyFont="1" applyBorder="1" applyAlignment="1">
      <alignment horizontal="center" vertical="center"/>
    </xf>
    <xf numFmtId="0" fontId="13" fillId="2" borderId="2" xfId="1" applyFont="1" applyBorder="1" applyAlignment="1">
      <alignment horizontal="center" vertical="center"/>
    </xf>
    <xf numFmtId="0" fontId="13" fillId="2" borderId="0" xfId="1" applyFont="1" applyBorder="1" applyAlignment="1">
      <alignment horizontal="center" vertical="center"/>
    </xf>
    <xf numFmtId="0" fontId="13" fillId="2" borderId="3" xfId="1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top" wrapText="1"/>
    </xf>
    <xf numFmtId="0" fontId="16" fillId="0" borderId="8" xfId="0" applyFont="1" applyBorder="1" applyAlignment="1">
      <alignment horizontal="center" vertical="top" wrapText="1"/>
    </xf>
    <xf numFmtId="0" fontId="16" fillId="0" borderId="19" xfId="0" applyFont="1" applyBorder="1" applyAlignment="1">
      <alignment horizontal="center" vertical="top" wrapText="1"/>
    </xf>
    <xf numFmtId="0" fontId="16" fillId="0" borderId="20" xfId="0" applyFont="1" applyBorder="1" applyAlignment="1">
      <alignment horizontal="center" vertical="top" wrapText="1"/>
    </xf>
    <xf numFmtId="0" fontId="16" fillId="0" borderId="0" xfId="0" applyFont="1" applyAlignment="1">
      <alignment horizontal="center" vertical="top" wrapText="1"/>
    </xf>
    <xf numFmtId="0" fontId="16" fillId="0" borderId="21" xfId="0" applyFont="1" applyBorder="1" applyAlignment="1">
      <alignment horizontal="center" vertical="top" wrapText="1"/>
    </xf>
    <xf numFmtId="0" fontId="16" fillId="0" borderId="13" xfId="0" applyFont="1" applyBorder="1" applyAlignment="1">
      <alignment horizontal="center" vertical="top" wrapText="1"/>
    </xf>
    <xf numFmtId="0" fontId="16" fillId="0" borderId="5" xfId="0" applyFont="1" applyBorder="1" applyAlignment="1">
      <alignment horizontal="center" vertical="top" wrapText="1"/>
    </xf>
    <xf numFmtId="0" fontId="16" fillId="0" borderId="14" xfId="0" applyFont="1" applyBorder="1" applyAlignment="1">
      <alignment horizontal="center" vertical="top" wrapText="1"/>
    </xf>
    <xf numFmtId="0" fontId="15" fillId="6" borderId="10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15" fillId="6" borderId="13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19" xfId="0" applyFont="1" applyBorder="1" applyAlignment="1">
      <alignment horizontal="center" vertical="top"/>
    </xf>
    <xf numFmtId="0" fontId="3" fillId="0" borderId="20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3" fillId="0" borderId="21" xfId="0" applyFont="1" applyBorder="1" applyAlignment="1">
      <alignment horizontal="center" vertical="top"/>
    </xf>
    <xf numFmtId="0" fontId="3" fillId="0" borderId="1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3" fillId="0" borderId="14" xfId="0" applyFont="1" applyBorder="1" applyAlignment="1">
      <alignment horizontal="center" vertical="top"/>
    </xf>
    <xf numFmtId="0" fontId="3" fillId="0" borderId="15" xfId="0" applyFont="1" applyBorder="1" applyAlignment="1">
      <alignment horizontal="center" vertical="top" wrapText="1"/>
    </xf>
    <xf numFmtId="0" fontId="3" fillId="0" borderId="16" xfId="0" applyFont="1" applyBorder="1" applyAlignment="1">
      <alignment horizontal="center" vertical="top" wrapText="1"/>
    </xf>
    <xf numFmtId="0" fontId="3" fillId="0" borderId="17" xfId="0" applyFont="1" applyBorder="1" applyAlignment="1">
      <alignment horizontal="center" vertical="top" wrapText="1"/>
    </xf>
    <xf numFmtId="0" fontId="16" fillId="7" borderId="15" xfId="0" applyFont="1" applyFill="1" applyBorder="1" applyAlignment="1">
      <alignment horizontal="left" vertical="top" wrapText="1"/>
    </xf>
    <xf numFmtId="0" fontId="16" fillId="7" borderId="16" xfId="0" applyFont="1" applyFill="1" applyBorder="1" applyAlignment="1">
      <alignment horizontal="left" vertical="top" wrapText="1"/>
    </xf>
    <xf numFmtId="0" fontId="16" fillId="7" borderId="17" xfId="0" applyFont="1" applyFill="1" applyBorder="1" applyAlignment="1">
      <alignment horizontal="left" vertical="top" wrapText="1"/>
    </xf>
    <xf numFmtId="0" fontId="16" fillId="7" borderId="15" xfId="0" applyFont="1" applyFill="1" applyBorder="1" applyAlignment="1">
      <alignment horizontal="left" vertical="top"/>
    </xf>
    <xf numFmtId="0" fontId="16" fillId="7" borderId="16" xfId="0" applyFont="1" applyFill="1" applyBorder="1" applyAlignment="1">
      <alignment horizontal="left" vertical="top"/>
    </xf>
    <xf numFmtId="0" fontId="16" fillId="7" borderId="17" xfId="0" applyFont="1" applyFill="1" applyBorder="1" applyAlignment="1">
      <alignment horizontal="left" vertical="top"/>
    </xf>
    <xf numFmtId="0" fontId="3" fillId="7" borderId="15" xfId="0" applyFont="1" applyFill="1" applyBorder="1" applyAlignment="1">
      <alignment horizontal="left" vertical="center"/>
    </xf>
    <xf numFmtId="0" fontId="3" fillId="7" borderId="16" xfId="0" applyFont="1" applyFill="1" applyBorder="1" applyAlignment="1">
      <alignment horizontal="left" vertical="center"/>
    </xf>
    <xf numFmtId="0" fontId="3" fillId="7" borderId="17" xfId="0" applyFont="1" applyFill="1" applyBorder="1" applyAlignment="1">
      <alignment horizontal="left" vertical="center"/>
    </xf>
    <xf numFmtId="0" fontId="5" fillId="4" borderId="0" xfId="3">
      <alignment vertical="center"/>
    </xf>
  </cellXfs>
  <cellStyles count="5">
    <cellStyle name="40% - 강조색1" xfId="3" builtinId="31"/>
    <cellStyle name="40% - 강조색2" xfId="4" builtinId="35"/>
    <cellStyle name="보통" xfId="2" builtinId="28"/>
    <cellStyle name="셀 확인" xfId="1" builtinId="2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ARIMA(1,0,0)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6.2619568565809122E-2"/>
          <c:y val="0.30271596893931535"/>
          <c:w val="0.91230164058735708"/>
          <c:h val="0.607194805416987"/>
        </c:manualLayout>
      </c:layout>
      <c:lineChart>
        <c:grouping val="standard"/>
        <c:varyColors val="0"/>
        <c:ser>
          <c:idx val="0"/>
          <c:order val="0"/>
          <c:tx>
            <c:strRef>
              <c:f>ARIMA계산과정!$B$5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ARIMA계산과정!$B$16:$B$25</c:f>
              <c:numCache>
                <c:formatCode>General</c:formatCode>
                <c:ptCount val="10"/>
                <c:pt idx="0">
                  <c:v>11.3</c:v>
                </c:pt>
                <c:pt idx="1">
                  <c:v>12.5</c:v>
                </c:pt>
                <c:pt idx="2">
                  <c:v>13.2</c:v>
                </c:pt>
                <c:pt idx="3">
                  <c:v>14.5</c:v>
                </c:pt>
                <c:pt idx="4">
                  <c:v>15.1</c:v>
                </c:pt>
                <c:pt idx="5">
                  <c:v>16.5</c:v>
                </c:pt>
                <c:pt idx="6">
                  <c:v>17.399999999999999</c:v>
                </c:pt>
                <c:pt idx="7">
                  <c:v>18</c:v>
                </c:pt>
                <c:pt idx="8">
                  <c:v>19.3</c:v>
                </c:pt>
                <c:pt idx="9">
                  <c:v>20.9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5A-45EA-A75A-27A28F145D23}"/>
            </c:ext>
          </c:extLst>
        </c:ser>
        <c:ser>
          <c:idx val="1"/>
          <c:order val="1"/>
          <c:tx>
            <c:strRef>
              <c:f>ARIMA계산과정!$C$5</c:f>
              <c:strCache>
                <c:ptCount val="1"/>
                <c:pt idx="0">
                  <c:v>yt-1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ARIMA계산과정!$D$16:$D$25</c:f>
              <c:numCache>
                <c:formatCode>General</c:formatCode>
                <c:ptCount val="10"/>
                <c:pt idx="0">
                  <c:v>11.67319954085978</c:v>
                </c:pt>
                <c:pt idx="1">
                  <c:v>12.378487058910657</c:v>
                </c:pt>
                <c:pt idx="2">
                  <c:v>13.587551375569298</c:v>
                </c:pt>
                <c:pt idx="3">
                  <c:v>14.292838893620175</c:v>
                </c:pt>
                <c:pt idx="4">
                  <c:v>15.602658570000372</c:v>
                </c:pt>
                <c:pt idx="5">
                  <c:v>16.207190728329696</c:v>
                </c:pt>
                <c:pt idx="6">
                  <c:v>17.617765764431446</c:v>
                </c:pt>
                <c:pt idx="7">
                  <c:v>18.52456400192543</c:v>
                </c:pt>
                <c:pt idx="8">
                  <c:v>19.129096160254754</c:v>
                </c:pt>
                <c:pt idx="9">
                  <c:v>20.438915836634951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5A-45EA-A75A-27A28F145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231023"/>
        <c:axId val="1988841231"/>
      </c:lineChart>
      <c:catAx>
        <c:axId val="1944231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1231"/>
        <c:crosses val="autoZero"/>
        <c:auto val="1"/>
        <c:lblAlgn val="ctr"/>
        <c:lblOffset val="100"/>
        <c:noMultiLvlLbl val="0"/>
      </c:catAx>
      <c:valAx>
        <c:axId val="198884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423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ARIMA계산과정!$K$16:$K$25</c:f>
              <c:numCache>
                <c:formatCode>General</c:formatCode>
                <c:ptCount val="10"/>
                <c:pt idx="0">
                  <c:v>1.2</c:v>
                </c:pt>
                <c:pt idx="1">
                  <c:v>1.1000000000000001</c:v>
                </c:pt>
                <c:pt idx="2">
                  <c:v>3.6</c:v>
                </c:pt>
                <c:pt idx="3">
                  <c:v>4.0999999999999996</c:v>
                </c:pt>
                <c:pt idx="4">
                  <c:v>1.3</c:v>
                </c:pt>
                <c:pt idx="5">
                  <c:v>1.4</c:v>
                </c:pt>
                <c:pt idx="6">
                  <c:v>1.5</c:v>
                </c:pt>
                <c:pt idx="7">
                  <c:v>3.1</c:v>
                </c:pt>
                <c:pt idx="8">
                  <c:v>4.9000000000000004</c:v>
                </c:pt>
                <c:pt idx="9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1-43FA-8E0D-FEBF13F6B42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ARIMA계산과정!$P$16:$P$25</c:f>
              <c:numCache>
                <c:formatCode>General</c:formatCode>
                <c:ptCount val="10"/>
                <c:pt idx="0">
                  <c:v>0.20706731201419082</c:v>
                </c:pt>
                <c:pt idx="1">
                  <c:v>0.25315496300671647</c:v>
                </c:pt>
                <c:pt idx="2">
                  <c:v>3.0379886104496965</c:v>
                </c:pt>
                <c:pt idx="3">
                  <c:v>4.2775758722861656</c:v>
                </c:pt>
                <c:pt idx="4">
                  <c:v>1.2173902468471887</c:v>
                </c:pt>
                <c:pt idx="5">
                  <c:v>0.43269505361062954</c:v>
                </c:pt>
                <c:pt idx="6">
                  <c:v>0.30925497337237084</c:v>
                </c:pt>
                <c:pt idx="7">
                  <c:v>2.7672894414715872</c:v>
                </c:pt>
                <c:pt idx="8">
                  <c:v>4.047603630205181</c:v>
                </c:pt>
                <c:pt idx="9">
                  <c:v>0.39660229656409718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E1-43FA-8E0D-FEBF13F6B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279823"/>
        <c:axId val="1988834991"/>
      </c:lineChart>
      <c:catAx>
        <c:axId val="19442798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34991"/>
        <c:crosses val="autoZero"/>
        <c:auto val="1"/>
        <c:lblAlgn val="ctr"/>
        <c:lblOffset val="100"/>
        <c:noMultiLvlLbl val="0"/>
      </c:catAx>
      <c:valAx>
        <c:axId val="198883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427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ARIMA계산과정!$B$57:$B$66</c:f>
              <c:numCache>
                <c:formatCode>General</c:formatCode>
                <c:ptCount val="10"/>
                <c:pt idx="0">
                  <c:v>9</c:v>
                </c:pt>
                <c:pt idx="1">
                  <c:v>16</c:v>
                </c:pt>
                <c:pt idx="2">
                  <c:v>7</c:v>
                </c:pt>
                <c:pt idx="3">
                  <c:v>14</c:v>
                </c:pt>
                <c:pt idx="4">
                  <c:v>8</c:v>
                </c:pt>
                <c:pt idx="5">
                  <c:v>16</c:v>
                </c:pt>
                <c:pt idx="6">
                  <c:v>6</c:v>
                </c:pt>
                <c:pt idx="7">
                  <c:v>15</c:v>
                </c:pt>
                <c:pt idx="8">
                  <c:v>4</c:v>
                </c:pt>
                <c:pt idx="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AB-4129-BFF8-DEECC7B9FD6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ARIMA계산과정!$D$57:$D$66</c:f>
              <c:numCache>
                <c:formatCode>General</c:formatCode>
                <c:ptCount val="10"/>
                <c:pt idx="0">
                  <c:v>6.7829373650107989</c:v>
                </c:pt>
                <c:pt idx="1">
                  <c:v>6.5820734341252694</c:v>
                </c:pt>
                <c:pt idx="2">
                  <c:v>6.8164146868250537</c:v>
                </c:pt>
                <c:pt idx="3">
                  <c:v>6.5151187904967598</c:v>
                </c:pt>
                <c:pt idx="4">
                  <c:v>6.7494600431965441</c:v>
                </c:pt>
                <c:pt idx="5">
                  <c:v>6.5485961123110146</c:v>
                </c:pt>
                <c:pt idx="6">
                  <c:v>6.8164146868250537</c:v>
                </c:pt>
                <c:pt idx="7">
                  <c:v>6.481641468682505</c:v>
                </c:pt>
                <c:pt idx="8">
                  <c:v>6.7829373650107989</c:v>
                </c:pt>
                <c:pt idx="9">
                  <c:v>6.4146868250539955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AB-4129-BFF8-DEECC7B9F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1800735"/>
        <c:axId val="1988839567"/>
      </c:lineChart>
      <c:catAx>
        <c:axId val="2001800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39567"/>
        <c:crosses val="autoZero"/>
        <c:auto val="1"/>
        <c:lblAlgn val="ctr"/>
        <c:lblOffset val="100"/>
        <c:noMultiLvlLbl val="0"/>
      </c:catAx>
      <c:valAx>
        <c:axId val="198883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180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ARIMA계산과정!$K$58:$K$66</c:f>
              <c:numCache>
                <c:formatCode>General</c:formatCode>
                <c:ptCount val="9"/>
                <c:pt idx="0">
                  <c:v>16</c:v>
                </c:pt>
                <c:pt idx="1">
                  <c:v>7</c:v>
                </c:pt>
                <c:pt idx="2">
                  <c:v>14</c:v>
                </c:pt>
                <c:pt idx="3">
                  <c:v>8</c:v>
                </c:pt>
                <c:pt idx="4">
                  <c:v>16</c:v>
                </c:pt>
                <c:pt idx="5">
                  <c:v>6</c:v>
                </c:pt>
                <c:pt idx="6">
                  <c:v>15</c:v>
                </c:pt>
                <c:pt idx="7">
                  <c:v>4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E-4BEC-B84E-04ACE77C18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ARIMA계산과정!$O$58:$O$66</c:f>
              <c:numCache>
                <c:formatCode>General</c:formatCode>
                <c:ptCount val="9"/>
                <c:pt idx="0">
                  <c:v>21.089150546677882</c:v>
                </c:pt>
                <c:pt idx="1">
                  <c:v>-4.8259041211101792</c:v>
                </c:pt>
                <c:pt idx="2">
                  <c:v>19.089150546677882</c:v>
                </c:pt>
                <c:pt idx="3">
                  <c:v>-0.65433137089991789</c:v>
                </c:pt>
                <c:pt idx="4">
                  <c:v>22.146341463414636</c:v>
                </c:pt>
                <c:pt idx="5">
                  <c:v>-6.8830950378469318</c:v>
                </c:pt>
                <c:pt idx="6">
                  <c:v>22.203532380151387</c:v>
                </c:pt>
                <c:pt idx="7">
                  <c:v>-9.9402859545836861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E-4BEC-B84E-04ACE77C1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62335"/>
        <c:axId val="1988842479"/>
      </c:lineChart>
      <c:catAx>
        <c:axId val="18719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2479"/>
        <c:crosses val="autoZero"/>
        <c:auto val="1"/>
        <c:lblAlgn val="ctr"/>
        <c:lblOffset val="100"/>
        <c:noMultiLvlLbl val="0"/>
      </c:catAx>
      <c:valAx>
        <c:axId val="19888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19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ARIMA계산과정!$K$58:$K$66</c:f>
              <c:numCache>
                <c:formatCode>General</c:formatCode>
                <c:ptCount val="9"/>
                <c:pt idx="0">
                  <c:v>16</c:v>
                </c:pt>
                <c:pt idx="1">
                  <c:v>7</c:v>
                </c:pt>
                <c:pt idx="2">
                  <c:v>14</c:v>
                </c:pt>
                <c:pt idx="3">
                  <c:v>8</c:v>
                </c:pt>
                <c:pt idx="4">
                  <c:v>16</c:v>
                </c:pt>
                <c:pt idx="5">
                  <c:v>6</c:v>
                </c:pt>
                <c:pt idx="6">
                  <c:v>15</c:v>
                </c:pt>
                <c:pt idx="7">
                  <c:v>4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C-4B0C-87DA-B2032F5BAFC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ARIMA계산과정!$O$58:$O$66</c:f>
              <c:numCache>
                <c:formatCode>General</c:formatCode>
                <c:ptCount val="9"/>
                <c:pt idx="0">
                  <c:v>21.089150546677882</c:v>
                </c:pt>
                <c:pt idx="1">
                  <c:v>-4.8259041211101792</c:v>
                </c:pt>
                <c:pt idx="2">
                  <c:v>19.089150546677882</c:v>
                </c:pt>
                <c:pt idx="3">
                  <c:v>-0.65433137089991789</c:v>
                </c:pt>
                <c:pt idx="4">
                  <c:v>22.146341463414636</c:v>
                </c:pt>
                <c:pt idx="5">
                  <c:v>-6.8830950378469318</c:v>
                </c:pt>
                <c:pt idx="6">
                  <c:v>22.203532380151387</c:v>
                </c:pt>
                <c:pt idx="7">
                  <c:v>-9.9402859545836861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C-4B0C-87DA-B2032F5BA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62335"/>
        <c:axId val="1988842479"/>
      </c:lineChart>
      <c:catAx>
        <c:axId val="18719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2479"/>
        <c:crosses val="autoZero"/>
        <c:auto val="1"/>
        <c:lblAlgn val="ctr"/>
        <c:lblOffset val="100"/>
        <c:noMultiLvlLbl val="0"/>
      </c:catAx>
      <c:valAx>
        <c:axId val="19888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19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ARIMA(4,0,0)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ARIMA_test!$K$6:$K$26</c:f>
              <c:numCache>
                <c:formatCode>General</c:formatCode>
                <c:ptCount val="21"/>
                <c:pt idx="0">
                  <c:v>3.113100263476372</c:v>
                </c:pt>
                <c:pt idx="1">
                  <c:v>2.4406396061182023</c:v>
                </c:pt>
                <c:pt idx="2">
                  <c:v>6.7853090673685079</c:v>
                </c:pt>
                <c:pt idx="3">
                  <c:v>8.7761024028062824</c:v>
                </c:pt>
                <c:pt idx="4">
                  <c:v>2.4841081619262693</c:v>
                </c:pt>
                <c:pt idx="5">
                  <c:v>3.4011022388935088</c:v>
                </c:pt>
                <c:pt idx="6">
                  <c:v>2.5765457659959794</c:v>
                </c:pt>
                <c:pt idx="7">
                  <c:v>7.8508010059595108</c:v>
                </c:pt>
                <c:pt idx="8">
                  <c:v>9.3111840724945072</c:v>
                </c:pt>
                <c:pt idx="9">
                  <c:v>3.2274543374776843</c:v>
                </c:pt>
                <c:pt idx="10">
                  <c:v>3.0617814779281614</c:v>
                </c:pt>
                <c:pt idx="11">
                  <c:v>2.9670593649148942</c:v>
                </c:pt>
                <c:pt idx="12">
                  <c:v>7.856599068641664</c:v>
                </c:pt>
                <c:pt idx="13">
                  <c:v>9.5920686930418011</c:v>
                </c:pt>
                <c:pt idx="14">
                  <c:v>2.9990778893232348</c:v>
                </c:pt>
                <c:pt idx="15">
                  <c:v>3.2349503576755523</c:v>
                </c:pt>
                <c:pt idx="16">
                  <c:v>3.3491761833429337</c:v>
                </c:pt>
                <c:pt idx="17">
                  <c:v>7.1206880122423177</c:v>
                </c:pt>
                <c:pt idx="18">
                  <c:v>11.005695471167565</c:v>
                </c:pt>
                <c:pt idx="19">
                  <c:v>3.0422818571329118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8-4FA2-AA32-2C98FE5FB2BA}"/>
            </c:ext>
          </c:extLst>
        </c:ser>
        <c:ser>
          <c:idx val="1"/>
          <c:order val="1"/>
          <c:tx>
            <c:strRef>
              <c:f>ARIMA_test!$P$5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ARIMA_test!$P$6:$P$25</c:f>
              <c:numCache>
                <c:formatCode>General</c:formatCode>
                <c:ptCount val="20"/>
                <c:pt idx="10">
                  <c:v>2.2734678639376735</c:v>
                </c:pt>
                <c:pt idx="11">
                  <c:v>3.1114457578623349</c:v>
                </c:pt>
                <c:pt idx="12">
                  <c:v>8.127089377461381</c:v>
                </c:pt>
                <c:pt idx="13">
                  <c:v>7.7518478145434884</c:v>
                </c:pt>
                <c:pt idx="14">
                  <c:v>2.4289146654281706</c:v>
                </c:pt>
                <c:pt idx="15">
                  <c:v>3.4999291436714262</c:v>
                </c:pt>
                <c:pt idx="16">
                  <c:v>2.4781131280898858</c:v>
                </c:pt>
                <c:pt idx="17">
                  <c:v>6.4569880760630278</c:v>
                </c:pt>
                <c:pt idx="18">
                  <c:v>9.2034420045347787</c:v>
                </c:pt>
                <c:pt idx="19">
                  <c:v>2.4730814264702934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28-4FA2-AA32-2C98FE5FB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119"/>
        <c:axId val="852885583"/>
      </c:lineChart>
      <c:catAx>
        <c:axId val="176791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2885583"/>
        <c:crosses val="autoZero"/>
        <c:auto val="1"/>
        <c:lblAlgn val="ctr"/>
        <c:lblOffset val="100"/>
        <c:noMultiLvlLbl val="0"/>
      </c:catAx>
      <c:valAx>
        <c:axId val="85288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67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ARIMA(1,0,0)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ARIMA_test!$B$6:$B$25</c:f>
              <c:numCache>
                <c:formatCode>General</c:formatCode>
                <c:ptCount val="20"/>
                <c:pt idx="0">
                  <c:v>2.0866144299507141</c:v>
                </c:pt>
                <c:pt idx="1">
                  <c:v>2.8339632184881913</c:v>
                </c:pt>
                <c:pt idx="2">
                  <c:v>8.3732214632787212</c:v>
                </c:pt>
                <c:pt idx="3">
                  <c:v>9.3621907924350936</c:v>
                </c:pt>
                <c:pt idx="4">
                  <c:v>10.775708509118934</c:v>
                </c:pt>
                <c:pt idx="5">
                  <c:v>11.844536141345376</c:v>
                </c:pt>
                <c:pt idx="6">
                  <c:v>17.410568792569009</c:v>
                </c:pt>
                <c:pt idx="7">
                  <c:v>20.345582089926069</c:v>
                </c:pt>
                <c:pt idx="8">
                  <c:v>19.841866339507856</c:v>
                </c:pt>
                <c:pt idx="9">
                  <c:v>24.899699060540449</c:v>
                </c:pt>
                <c:pt idx="10">
                  <c:v>28.786802382845629</c:v>
                </c:pt>
                <c:pt idx="11">
                  <c:v>30.894345854458056</c:v>
                </c:pt>
                <c:pt idx="12">
                  <c:v>30.46581301877373</c:v>
                </c:pt>
                <c:pt idx="13">
                  <c:v>32.519776683104666</c:v>
                </c:pt>
                <c:pt idx="14">
                  <c:v>38.753448113014827</c:v>
                </c:pt>
                <c:pt idx="15">
                  <c:v>38.816404449312309</c:v>
                </c:pt>
                <c:pt idx="16">
                  <c:v>44.53628145707281</c:v>
                </c:pt>
                <c:pt idx="17">
                  <c:v>43.101070278569274</c:v>
                </c:pt>
                <c:pt idx="18">
                  <c:v>44.934102174482845</c:v>
                </c:pt>
                <c:pt idx="19">
                  <c:v>47.803469300270081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18-4B4A-90FF-E8833011E1C5}"/>
            </c:ext>
          </c:extLst>
        </c:ser>
        <c:ser>
          <c:idx val="1"/>
          <c:order val="1"/>
          <c:tx>
            <c:strRef>
              <c:f>ARIMA_test!$D$5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ARIMA_test!$D$6:$D$25</c:f>
              <c:numCache>
                <c:formatCode>General</c:formatCode>
                <c:ptCount val="20"/>
                <c:pt idx="10">
                  <c:v>27.310043460807872</c:v>
                </c:pt>
                <c:pt idx="11">
                  <c:v>31.161233663525348</c:v>
                </c:pt>
                <c:pt idx="12">
                  <c:v>33.249305447750928</c:v>
                </c:pt>
                <c:pt idx="13">
                  <c:v>32.824731845896807</c:v>
                </c:pt>
                <c:pt idx="14">
                  <c:v>34.859718849051127</c:v>
                </c:pt>
                <c:pt idx="15">
                  <c:v>41.035797112798662</c:v>
                </c:pt>
                <c:pt idx="16">
                  <c:v>41.098171792719455</c:v>
                </c:pt>
                <c:pt idx="17">
                  <c:v>46.765202603717469</c:v>
                </c:pt>
                <c:pt idx="18">
                  <c:v>45.343251404796014</c:v>
                </c:pt>
                <c:pt idx="19">
                  <c:v>47.159347837916954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18-4B4A-90FF-E8833011E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47135"/>
        <c:axId val="978200527"/>
      </c:lineChart>
      <c:catAx>
        <c:axId val="8578471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200527"/>
        <c:crosses val="autoZero"/>
        <c:auto val="1"/>
        <c:lblAlgn val="ctr"/>
        <c:lblOffset val="100"/>
        <c:noMultiLvlLbl val="0"/>
      </c:catAx>
      <c:valAx>
        <c:axId val="97820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7847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ARIMA_test!$B$47:$B$66</c:f>
              <c:numCache>
                <c:formatCode>General</c:formatCode>
                <c:ptCount val="20"/>
                <c:pt idx="0">
                  <c:v>0.45556873083114624</c:v>
                </c:pt>
                <c:pt idx="1">
                  <c:v>1.2705428004264832</c:v>
                </c:pt>
                <c:pt idx="2">
                  <c:v>1.0006316304206848</c:v>
                </c:pt>
                <c:pt idx="3">
                  <c:v>1.4203127026557922</c:v>
                </c:pt>
                <c:pt idx="4">
                  <c:v>0.84140747785568237</c:v>
                </c:pt>
                <c:pt idx="5">
                  <c:v>-7.7310144901275635E-2</c:v>
                </c:pt>
                <c:pt idx="6">
                  <c:v>0.40512329339981079</c:v>
                </c:pt>
                <c:pt idx="7">
                  <c:v>0.41396194696426392</c:v>
                </c:pt>
                <c:pt idx="8">
                  <c:v>2.9009759426116943E-2</c:v>
                </c:pt>
                <c:pt idx="9">
                  <c:v>0.14415568113327026</c:v>
                </c:pt>
                <c:pt idx="10">
                  <c:v>-0.82216948270797729</c:v>
                </c:pt>
                <c:pt idx="11">
                  <c:v>-0.92555111646652222</c:v>
                </c:pt>
                <c:pt idx="12">
                  <c:v>-1.098354160785675</c:v>
                </c:pt>
                <c:pt idx="13">
                  <c:v>-0.74612051248550415</c:v>
                </c:pt>
                <c:pt idx="14">
                  <c:v>-0.54431432485580444</c:v>
                </c:pt>
                <c:pt idx="15">
                  <c:v>-1.2902736067771912</c:v>
                </c:pt>
                <c:pt idx="16">
                  <c:v>-1.6207929253578186</c:v>
                </c:pt>
                <c:pt idx="17">
                  <c:v>-2.0390627980232239</c:v>
                </c:pt>
                <c:pt idx="18">
                  <c:v>-1.2947890162467957</c:v>
                </c:pt>
                <c:pt idx="19">
                  <c:v>-1.8610221743583679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2-4EF2-BAFD-2112E7F1396F}"/>
            </c:ext>
          </c:extLst>
        </c:ser>
        <c:ser>
          <c:idx val="1"/>
          <c:order val="1"/>
          <c:tx>
            <c:v>예측값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ARIMA_test!$D$47:$D$66</c:f>
              <c:numCache>
                <c:formatCode>General</c:formatCode>
                <c:ptCount val="20"/>
                <c:pt idx="10">
                  <c:v>0.36525838264145305</c:v>
                </c:pt>
                <c:pt idx="11">
                  <c:v>-0.1026543140569558</c:v>
                </c:pt>
                <c:pt idx="12">
                  <c:v>-0.15271363244286823</c:v>
                </c:pt>
                <c:pt idx="13">
                  <c:v>-0.23638809471564509</c:v>
                </c:pt>
                <c:pt idx="14">
                  <c:v>-6.5829981969314555E-2</c:v>
                </c:pt>
                <c:pt idx="15">
                  <c:v>3.1888344115538259E-2</c:v>
                </c:pt>
                <c:pt idx="16">
                  <c:v>-0.32931907580050485</c:v>
                </c:pt>
                <c:pt idx="17">
                  <c:v>-0.48936270444121482</c:v>
                </c:pt>
                <c:pt idx="18">
                  <c:v>-0.69189679067838394</c:v>
                </c:pt>
                <c:pt idx="19">
                  <c:v>-0.33150552142013606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72-4EF2-BAFD-2112E7F13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4319"/>
        <c:axId val="861286415"/>
      </c:lineChart>
      <c:catAx>
        <c:axId val="177243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1286415"/>
        <c:crosses val="autoZero"/>
        <c:auto val="1"/>
        <c:lblAlgn val="ctr"/>
        <c:lblOffset val="100"/>
        <c:noMultiLvlLbl val="0"/>
      </c:catAx>
      <c:valAx>
        <c:axId val="86128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2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ARIMA_test!$M$47:$M$66</c:f>
              <c:numCache>
                <c:formatCode>General</c:formatCode>
                <c:ptCount val="20"/>
                <c:pt idx="0">
                  <c:v>0.45556873083114624</c:v>
                </c:pt>
                <c:pt idx="1">
                  <c:v>1.2705428004264832</c:v>
                </c:pt>
                <c:pt idx="2">
                  <c:v>1.0006316304206848</c:v>
                </c:pt>
                <c:pt idx="3">
                  <c:v>1.4203127026557922</c:v>
                </c:pt>
                <c:pt idx="4">
                  <c:v>0.84140747785568237</c:v>
                </c:pt>
                <c:pt idx="5">
                  <c:v>-7.7310144901275635E-2</c:v>
                </c:pt>
                <c:pt idx="6">
                  <c:v>0.40512329339981079</c:v>
                </c:pt>
                <c:pt idx="7">
                  <c:v>0.41396194696426392</c:v>
                </c:pt>
                <c:pt idx="8">
                  <c:v>2.9009759426116943E-2</c:v>
                </c:pt>
                <c:pt idx="9">
                  <c:v>0.14415568113327026</c:v>
                </c:pt>
                <c:pt idx="10">
                  <c:v>-0.82216948270797729</c:v>
                </c:pt>
                <c:pt idx="11">
                  <c:v>-0.92555111646652222</c:v>
                </c:pt>
                <c:pt idx="12">
                  <c:v>-1.098354160785675</c:v>
                </c:pt>
                <c:pt idx="13">
                  <c:v>-0.74612051248550415</c:v>
                </c:pt>
                <c:pt idx="14">
                  <c:v>-0.54431432485580444</c:v>
                </c:pt>
                <c:pt idx="15">
                  <c:v>-1.2902736067771912</c:v>
                </c:pt>
                <c:pt idx="16">
                  <c:v>-1.6207929253578186</c:v>
                </c:pt>
                <c:pt idx="17">
                  <c:v>-2.0390627980232239</c:v>
                </c:pt>
                <c:pt idx="18">
                  <c:v>-1.2947890162467957</c:v>
                </c:pt>
                <c:pt idx="19">
                  <c:v>-1.8610221743583679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0-47F8-ACCA-CEEA4D2A4EB0}"/>
            </c:ext>
          </c:extLst>
        </c:ser>
        <c:ser>
          <c:idx val="1"/>
          <c:order val="1"/>
          <c:tx>
            <c:v>예측값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ARIMA_test!$Q$47:$Q$66</c:f>
              <c:numCache>
                <c:formatCode>General</c:formatCode>
                <c:ptCount val="20"/>
                <c:pt idx="10">
                  <c:v>-0.85861313336902634</c:v>
                </c:pt>
                <c:pt idx="11">
                  <c:v>-0.71288278886585243</c:v>
                </c:pt>
                <c:pt idx="12">
                  <c:v>-0.90572620004054516</c:v>
                </c:pt>
                <c:pt idx="13">
                  <c:v>-0.40192651688539971</c:v>
                </c:pt>
                <c:pt idx="14">
                  <c:v>-0.24354528234494399</c:v>
                </c:pt>
                <c:pt idx="15">
                  <c:v>-1.2631026883815792</c:v>
                </c:pt>
                <c:pt idx="16">
                  <c:v>-1.4736940307864375</c:v>
                </c:pt>
                <c:pt idx="17">
                  <c:v>-1.9172954730848244</c:v>
                </c:pt>
                <c:pt idx="18">
                  <c:v>-0.83742203793842629</c:v>
                </c:pt>
                <c:pt idx="19">
                  <c:v>-1.8610221743583679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40-47F8-ACCA-CEEA4D2A4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70735"/>
        <c:axId val="978210927"/>
      </c:lineChart>
      <c:catAx>
        <c:axId val="857870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210927"/>
        <c:crosses val="autoZero"/>
        <c:auto val="1"/>
        <c:lblAlgn val="ctr"/>
        <c:lblOffset val="100"/>
        <c:noMultiLvlLbl val="0"/>
      </c:catAx>
      <c:valAx>
        <c:axId val="97821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787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25</xdr:row>
      <xdr:rowOff>6724</xdr:rowOff>
    </xdr:from>
    <xdr:to>
      <xdr:col>6</xdr:col>
      <xdr:colOff>796636</xdr:colOff>
      <xdr:row>37</xdr:row>
      <xdr:rowOff>173182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16808</xdr:colOff>
      <xdr:row>25</xdr:row>
      <xdr:rowOff>6723</xdr:rowOff>
    </xdr:from>
    <xdr:to>
      <xdr:col>15</xdr:col>
      <xdr:colOff>649941</xdr:colOff>
      <xdr:row>37</xdr:row>
      <xdr:rowOff>194982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66</xdr:row>
      <xdr:rowOff>6724</xdr:rowOff>
    </xdr:from>
    <xdr:to>
      <xdr:col>6</xdr:col>
      <xdr:colOff>773205</xdr:colOff>
      <xdr:row>78</xdr:row>
      <xdr:rowOff>194982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22412</xdr:colOff>
      <xdr:row>65</xdr:row>
      <xdr:rowOff>208430</xdr:rowOff>
    </xdr:from>
    <xdr:to>
      <xdr:col>15</xdr:col>
      <xdr:colOff>649941</xdr:colOff>
      <xdr:row>78</xdr:row>
      <xdr:rowOff>183777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24</xdr:row>
      <xdr:rowOff>208430</xdr:rowOff>
    </xdr:from>
    <xdr:to>
      <xdr:col>6</xdr:col>
      <xdr:colOff>649941</xdr:colOff>
      <xdr:row>37</xdr:row>
      <xdr:rowOff>183777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8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선형적 패턴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8</xdr:row>
          <xdr:rowOff>19050</xdr:rowOff>
        </xdr:from>
        <xdr:to>
          <xdr:col>21</xdr:col>
          <xdr:colOff>676275</xdr:colOff>
          <xdr:row>11</xdr:row>
          <xdr:rowOff>9525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패턴이 있는 데이터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22411</xdr:colOff>
      <xdr:row>25</xdr:row>
      <xdr:rowOff>6724</xdr:rowOff>
    </xdr:from>
    <xdr:to>
      <xdr:col>21</xdr:col>
      <xdr:colOff>638735</xdr:colOff>
      <xdr:row>37</xdr:row>
      <xdr:rowOff>194983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11206</xdr:colOff>
      <xdr:row>24</xdr:row>
      <xdr:rowOff>208431</xdr:rowOff>
    </xdr:from>
    <xdr:to>
      <xdr:col>6</xdr:col>
      <xdr:colOff>806823</xdr:colOff>
      <xdr:row>37</xdr:row>
      <xdr:rowOff>183778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47</xdr:row>
          <xdr:rowOff>0</xdr:rowOff>
        </xdr:from>
        <xdr:to>
          <xdr:col>9</xdr:col>
          <xdr:colOff>666750</xdr:colOff>
          <xdr:row>49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비정상성 데이터추가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65</xdr:row>
      <xdr:rowOff>193222</xdr:rowOff>
    </xdr:from>
    <xdr:to>
      <xdr:col>6</xdr:col>
      <xdr:colOff>802821</xdr:colOff>
      <xdr:row>78</xdr:row>
      <xdr:rowOff>190500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27215</xdr:colOff>
      <xdr:row>66</xdr:row>
      <xdr:rowOff>16329</xdr:rowOff>
    </xdr:from>
    <xdr:to>
      <xdr:col>19</xdr:col>
      <xdr:colOff>639535</xdr:colOff>
      <xdr:row>78</xdr:row>
      <xdr:rowOff>190500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44823</xdr:colOff>
      <xdr:row>13</xdr:row>
      <xdr:rowOff>11206</xdr:rowOff>
    </xdr:from>
    <xdr:to>
      <xdr:col>6</xdr:col>
      <xdr:colOff>339256</xdr:colOff>
      <xdr:row>14</xdr:row>
      <xdr:rowOff>203089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49705" y="2801471"/>
          <a:ext cx="1739992" cy="404794"/>
        </a:xfrm>
        <a:prstGeom prst="rect">
          <a:avLst/>
        </a:prstGeom>
      </xdr:spPr>
    </xdr:pic>
    <xdr:clientData/>
  </xdr:twoCellAnchor>
  <xdr:twoCellAnchor editAs="oneCell">
    <xdr:from>
      <xdr:col>16</xdr:col>
      <xdr:colOff>48025</xdr:colOff>
      <xdr:row>13</xdr:row>
      <xdr:rowOff>16009</xdr:rowOff>
    </xdr:from>
    <xdr:to>
      <xdr:col>21</xdr:col>
      <xdr:colOff>400043</xdr:colOff>
      <xdr:row>14</xdr:row>
      <xdr:rowOff>89648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679731" y="2806274"/>
          <a:ext cx="3769812" cy="286550"/>
        </a:xfrm>
        <a:prstGeom prst="rect">
          <a:avLst/>
        </a:prstGeom>
      </xdr:spPr>
    </xdr:pic>
    <xdr:clientData/>
  </xdr:twoCellAnchor>
  <xdr:twoCellAnchor editAs="oneCell">
    <xdr:from>
      <xdr:col>4</xdr:col>
      <xdr:colOff>78440</xdr:colOff>
      <xdr:row>54</xdr:row>
      <xdr:rowOff>22410</xdr:rowOff>
    </xdr:from>
    <xdr:to>
      <xdr:col>6</xdr:col>
      <xdr:colOff>245624</xdr:colOff>
      <xdr:row>55</xdr:row>
      <xdr:rowOff>179294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83322" y="11542057"/>
          <a:ext cx="1612743" cy="369796"/>
        </a:xfrm>
        <a:prstGeom prst="rect">
          <a:avLst/>
        </a:prstGeom>
      </xdr:spPr>
    </xdr:pic>
    <xdr:clientData/>
  </xdr:twoCellAnchor>
  <xdr:twoCellAnchor editAs="oneCell">
    <xdr:from>
      <xdr:col>16</xdr:col>
      <xdr:colOff>39540</xdr:colOff>
      <xdr:row>54</xdr:row>
      <xdr:rowOff>13927</xdr:rowOff>
    </xdr:from>
    <xdr:to>
      <xdr:col>18</xdr:col>
      <xdr:colOff>280786</xdr:colOff>
      <xdr:row>55</xdr:row>
      <xdr:rowOff>179294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71246" y="11533574"/>
          <a:ext cx="1608364" cy="378279"/>
        </a:xfrm>
        <a:prstGeom prst="rect">
          <a:avLst/>
        </a:prstGeom>
      </xdr:spPr>
    </xdr:pic>
    <xdr:clientData/>
  </xdr:twoCellAnchor>
  <xdr:twoCellAnchor editAs="oneCell">
    <xdr:from>
      <xdr:col>24</xdr:col>
      <xdr:colOff>692729</xdr:colOff>
      <xdr:row>13</xdr:row>
      <xdr:rowOff>0</xdr:rowOff>
    </xdr:from>
    <xdr:to>
      <xdr:col>27</xdr:col>
      <xdr:colOff>748173</xdr:colOff>
      <xdr:row>14</xdr:row>
      <xdr:rowOff>72157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76274" y="1073727"/>
          <a:ext cx="3796172" cy="2799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07C62-555B-4930-B84A-DF271ED96E38}">
  <sheetPr codeName="Sheet8"/>
  <dimension ref="A1:V79"/>
  <sheetViews>
    <sheetView topLeftCell="A4" zoomScale="85" zoomScaleNormal="85" workbookViewId="0">
      <selection activeCell="H15" sqref="H15"/>
    </sheetView>
  </sheetViews>
  <sheetFormatPr defaultRowHeight="16.5" x14ac:dyDescent="0.3"/>
  <cols>
    <col min="1" max="1" width="10.625" customWidth="1"/>
    <col min="6" max="6" width="10" customWidth="1"/>
    <col min="7" max="7" width="10.875" customWidth="1"/>
    <col min="10" max="12" width="9" customWidth="1"/>
  </cols>
  <sheetData>
    <row r="1" spans="1:22" x14ac:dyDescent="0.3">
      <c r="A1" s="23" t="s">
        <v>5</v>
      </c>
      <c r="B1" s="24"/>
      <c r="C1" s="24"/>
      <c r="D1" s="24"/>
      <c r="E1" s="24"/>
      <c r="F1" s="24"/>
      <c r="G1" s="25"/>
      <c r="J1" s="23" t="s">
        <v>3</v>
      </c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5"/>
    </row>
    <row r="2" spans="1:22" x14ac:dyDescent="0.3">
      <c r="A2" s="26"/>
      <c r="B2" s="27"/>
      <c r="C2" s="27"/>
      <c r="D2" s="27"/>
      <c r="E2" s="27"/>
      <c r="F2" s="27"/>
      <c r="G2" s="28"/>
      <c r="J2" s="26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8"/>
    </row>
    <row r="3" spans="1:22" x14ac:dyDescent="0.3">
      <c r="A3" s="29" t="s">
        <v>6</v>
      </c>
      <c r="B3" s="30"/>
      <c r="C3" s="30"/>
      <c r="D3" s="30"/>
      <c r="E3" s="30"/>
      <c r="F3" s="30"/>
      <c r="G3" s="31"/>
      <c r="J3" s="29" t="s">
        <v>4</v>
      </c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1"/>
    </row>
    <row r="4" spans="1:22" x14ac:dyDescent="0.3">
      <c r="A4" s="29"/>
      <c r="B4" s="30"/>
      <c r="C4" s="30"/>
      <c r="D4" s="30"/>
      <c r="E4" s="30"/>
      <c r="F4" s="30"/>
      <c r="G4" s="31"/>
      <c r="J4" s="29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1"/>
    </row>
    <row r="5" spans="1:22" x14ac:dyDescent="0.3">
      <c r="A5" s="21" t="s">
        <v>15</v>
      </c>
      <c r="B5" s="22" t="s">
        <v>2</v>
      </c>
      <c r="C5" s="22" t="s">
        <v>8</v>
      </c>
      <c r="D5" s="22" t="s">
        <v>23</v>
      </c>
      <c r="E5" s="22"/>
      <c r="F5" s="19" t="s">
        <v>21</v>
      </c>
      <c r="G5" s="20" t="s">
        <v>1</v>
      </c>
      <c r="J5" s="17" t="s">
        <v>15</v>
      </c>
      <c r="K5" s="6" t="s">
        <v>2</v>
      </c>
      <c r="L5" s="6" t="s">
        <v>8</v>
      </c>
      <c r="M5" s="6" t="s">
        <v>9</v>
      </c>
      <c r="N5" s="6" t="s">
        <v>10</v>
      </c>
      <c r="O5" s="6" t="s">
        <v>11</v>
      </c>
      <c r="P5" s="6" t="s">
        <v>0</v>
      </c>
      <c r="R5" s="18" t="s">
        <v>18</v>
      </c>
      <c r="S5" s="18" t="s">
        <v>19</v>
      </c>
      <c r="T5" s="18" t="s">
        <v>20</v>
      </c>
      <c r="U5" s="19" t="s">
        <v>21</v>
      </c>
      <c r="V5" s="20" t="s">
        <v>1</v>
      </c>
    </row>
    <row r="6" spans="1:22" x14ac:dyDescent="0.3">
      <c r="A6" s="2">
        <v>1</v>
      </c>
      <c r="B6" s="9">
        <v>1.3</v>
      </c>
      <c r="F6" s="14">
        <f t="array" ref="F6:G6">LINEST(B7:B15,C7:C15,TRUE,TRUE)</f>
        <v>1.0075535972155369</v>
      </c>
      <c r="G6" s="15">
        <v>0.99313141037508768</v>
      </c>
      <c r="J6" s="2">
        <v>1</v>
      </c>
      <c r="K6" s="9">
        <v>1.3</v>
      </c>
      <c r="R6" s="11">
        <f t="array" ref="R6:V6">LINEST(K10:K15, L10:O15, TRUE, TRUE)</f>
        <v>-1.0530294089364687</v>
      </c>
      <c r="S6" s="11">
        <v>-1.1384930996700433</v>
      </c>
      <c r="T6" s="11">
        <v>-1.1315901718781394</v>
      </c>
      <c r="U6" s="11">
        <v>-0.90072489320856153</v>
      </c>
      <c r="V6" s="12">
        <v>11.500064628124402</v>
      </c>
    </row>
    <row r="7" spans="1:22" x14ac:dyDescent="0.3">
      <c r="A7" s="2">
        <v>2</v>
      </c>
      <c r="B7" s="14">
        <v>2.1</v>
      </c>
      <c r="C7" s="14">
        <f>B6</f>
        <v>1.3</v>
      </c>
      <c r="E7" s="30" t="s">
        <v>17</v>
      </c>
      <c r="F7" s="30"/>
      <c r="G7" s="31"/>
      <c r="J7" s="2">
        <v>2</v>
      </c>
      <c r="K7" s="9">
        <v>1.1000000000000001</v>
      </c>
      <c r="L7">
        <f>K6</f>
        <v>1.3</v>
      </c>
      <c r="V7" s="1"/>
    </row>
    <row r="8" spans="1:22" x14ac:dyDescent="0.3">
      <c r="A8" s="2">
        <v>3</v>
      </c>
      <c r="B8" s="14">
        <v>3.5</v>
      </c>
      <c r="C8" s="14">
        <f t="shared" ref="C8:C25" si="0">B7</f>
        <v>2.1</v>
      </c>
      <c r="E8" s="30"/>
      <c r="F8" s="30"/>
      <c r="G8" s="31"/>
      <c r="J8" s="2">
        <v>3</v>
      </c>
      <c r="K8" s="9">
        <v>3.1</v>
      </c>
      <c r="L8">
        <f t="shared" ref="L8:O15" si="1">K7</f>
        <v>1.1000000000000001</v>
      </c>
      <c r="M8">
        <f>L7</f>
        <v>1.3</v>
      </c>
      <c r="V8" s="1"/>
    </row>
    <row r="9" spans="1:22" x14ac:dyDescent="0.3">
      <c r="A9" s="2">
        <v>4</v>
      </c>
      <c r="B9" s="14">
        <v>4.0999999999999996</v>
      </c>
      <c r="C9" s="14">
        <f t="shared" si="0"/>
        <v>3.5</v>
      </c>
      <c r="G9" s="1"/>
      <c r="J9" s="2">
        <v>4</v>
      </c>
      <c r="K9" s="9">
        <v>3.9</v>
      </c>
      <c r="L9">
        <f t="shared" si="1"/>
        <v>3.1</v>
      </c>
      <c r="M9">
        <f t="shared" si="1"/>
        <v>1.1000000000000001</v>
      </c>
      <c r="N9">
        <f>M8</f>
        <v>1.3</v>
      </c>
      <c r="V9" s="1"/>
    </row>
    <row r="10" spans="1:22" x14ac:dyDescent="0.3">
      <c r="A10" s="2">
        <v>5</v>
      </c>
      <c r="B10" s="14">
        <v>5.6</v>
      </c>
      <c r="C10" s="14">
        <f t="shared" si="0"/>
        <v>4.0999999999999996</v>
      </c>
      <c r="G10" s="1"/>
      <c r="J10" s="2">
        <v>5</v>
      </c>
      <c r="K10" s="16">
        <v>1.2</v>
      </c>
      <c r="L10" s="14">
        <f t="shared" si="1"/>
        <v>3.9</v>
      </c>
      <c r="M10" s="14">
        <f t="shared" si="1"/>
        <v>3.1</v>
      </c>
      <c r="N10" s="14">
        <f t="shared" si="1"/>
        <v>1.1000000000000001</v>
      </c>
      <c r="O10" s="14">
        <f>N9</f>
        <v>1.3</v>
      </c>
      <c r="V10" s="1"/>
    </row>
    <row r="11" spans="1:22" x14ac:dyDescent="0.3">
      <c r="A11" s="2">
        <v>6</v>
      </c>
      <c r="B11" s="14">
        <v>6.7</v>
      </c>
      <c r="C11" s="14">
        <f t="shared" si="0"/>
        <v>5.6</v>
      </c>
      <c r="G11" s="1"/>
      <c r="J11" s="2">
        <v>6</v>
      </c>
      <c r="K11" s="16">
        <v>1.4</v>
      </c>
      <c r="L11" s="14">
        <f t="shared" si="1"/>
        <v>1.2</v>
      </c>
      <c r="M11" s="14">
        <f t="shared" si="1"/>
        <v>3.9</v>
      </c>
      <c r="N11" s="14">
        <f t="shared" si="1"/>
        <v>3.1</v>
      </c>
      <c r="O11" s="14">
        <f t="shared" si="1"/>
        <v>1.1000000000000001</v>
      </c>
      <c r="V11" s="1"/>
    </row>
    <row r="12" spans="1:22" x14ac:dyDescent="0.3">
      <c r="A12" s="2">
        <v>7</v>
      </c>
      <c r="B12" s="14">
        <v>7.2</v>
      </c>
      <c r="C12" s="14">
        <f t="shared" si="0"/>
        <v>6.7</v>
      </c>
      <c r="G12" s="1"/>
      <c r="J12" s="2">
        <v>7</v>
      </c>
      <c r="K12" s="16">
        <v>1.1000000000000001</v>
      </c>
      <c r="L12" s="14">
        <f t="shared" si="1"/>
        <v>1.4</v>
      </c>
      <c r="M12" s="14">
        <f t="shared" si="1"/>
        <v>1.2</v>
      </c>
      <c r="N12" s="14">
        <f t="shared" si="1"/>
        <v>3.9</v>
      </c>
      <c r="O12" s="14">
        <f t="shared" si="1"/>
        <v>3.1</v>
      </c>
      <c r="V12" s="1"/>
    </row>
    <row r="13" spans="1:22" x14ac:dyDescent="0.3">
      <c r="A13" s="2">
        <v>8</v>
      </c>
      <c r="B13" s="14">
        <v>8.3000000000000007</v>
      </c>
      <c r="C13" s="14">
        <f t="shared" si="0"/>
        <v>7.2</v>
      </c>
      <c r="G13" s="1"/>
      <c r="J13" s="2">
        <v>8</v>
      </c>
      <c r="K13" s="16">
        <v>3.5</v>
      </c>
      <c r="L13" s="14">
        <f t="shared" si="1"/>
        <v>1.1000000000000001</v>
      </c>
      <c r="M13" s="14">
        <f t="shared" si="1"/>
        <v>1.4</v>
      </c>
      <c r="N13" s="14">
        <f t="shared" si="1"/>
        <v>1.2</v>
      </c>
      <c r="O13" s="14">
        <f t="shared" si="1"/>
        <v>3.9</v>
      </c>
      <c r="V13" s="1"/>
    </row>
    <row r="14" spans="1:22" x14ac:dyDescent="0.3">
      <c r="A14" s="2">
        <v>9</v>
      </c>
      <c r="B14" s="14">
        <v>9.1</v>
      </c>
      <c r="C14" s="14">
        <f t="shared" si="0"/>
        <v>8.3000000000000007</v>
      </c>
      <c r="G14" s="1"/>
      <c r="J14" s="2">
        <v>9</v>
      </c>
      <c r="K14" s="16">
        <v>4.4000000000000004</v>
      </c>
      <c r="L14" s="14">
        <f t="shared" si="1"/>
        <v>3.5</v>
      </c>
      <c r="M14" s="14">
        <f t="shared" si="1"/>
        <v>1.1000000000000001</v>
      </c>
      <c r="N14" s="14">
        <f t="shared" si="1"/>
        <v>1.4</v>
      </c>
      <c r="O14" s="14">
        <f t="shared" si="1"/>
        <v>1.2</v>
      </c>
      <c r="V14" s="1"/>
    </row>
    <row r="15" spans="1:22" x14ac:dyDescent="0.3">
      <c r="A15" s="2">
        <v>10</v>
      </c>
      <c r="B15" s="14">
        <v>10.6</v>
      </c>
      <c r="C15" s="14">
        <f t="shared" si="0"/>
        <v>9.1</v>
      </c>
      <c r="G15" s="1"/>
      <c r="J15" s="2">
        <v>10</v>
      </c>
      <c r="K15" s="16">
        <v>1.3</v>
      </c>
      <c r="L15" s="14">
        <f t="shared" si="1"/>
        <v>4.4000000000000004</v>
      </c>
      <c r="M15" s="14">
        <f t="shared" si="1"/>
        <v>3.5</v>
      </c>
      <c r="N15" s="14">
        <f t="shared" si="1"/>
        <v>1.1000000000000001</v>
      </c>
      <c r="O15" s="14">
        <f t="shared" si="1"/>
        <v>1.4</v>
      </c>
      <c r="V15" s="1"/>
    </row>
    <row r="16" spans="1:22" x14ac:dyDescent="0.3">
      <c r="A16" s="2">
        <v>11</v>
      </c>
      <c r="B16" s="10">
        <v>11.3</v>
      </c>
      <c r="C16">
        <f t="shared" si="0"/>
        <v>10.6</v>
      </c>
      <c r="D16" s="7">
        <f t="shared" ref="D16:D25" si="2">$G$6+$F$6*C16</f>
        <v>11.67319954085978</v>
      </c>
      <c r="E16" s="8" t="s">
        <v>16</v>
      </c>
      <c r="G16" s="1"/>
      <c r="J16" s="2">
        <v>11</v>
      </c>
      <c r="K16" s="10">
        <v>1.2</v>
      </c>
      <c r="L16">
        <f t="shared" ref="L16:L25" si="3">K15</f>
        <v>1.3</v>
      </c>
      <c r="M16">
        <f t="shared" ref="M16:M25" si="4">L15</f>
        <v>4.4000000000000004</v>
      </c>
      <c r="N16">
        <f t="shared" ref="N16:N25" si="5">M15</f>
        <v>3.5</v>
      </c>
      <c r="O16">
        <f t="shared" ref="O16:O25" si="6">N15</f>
        <v>1.1000000000000001</v>
      </c>
      <c r="P16" s="7">
        <f t="shared" ref="P16:P25" si="7">$V$6+$U$6*L16+$T$6*M16+$S$6*N16+$R$6*O16</f>
        <v>0.20706731201419082</v>
      </c>
      <c r="Q16" s="8" t="s">
        <v>13</v>
      </c>
      <c r="V16" s="1"/>
    </row>
    <row r="17" spans="1:22" x14ac:dyDescent="0.3">
      <c r="A17" s="2">
        <v>12</v>
      </c>
      <c r="B17" s="10">
        <v>12.5</v>
      </c>
      <c r="C17">
        <f t="shared" si="0"/>
        <v>11.3</v>
      </c>
      <c r="D17" s="7">
        <f t="shared" si="2"/>
        <v>12.378487058910657</v>
      </c>
      <c r="G17" s="1"/>
      <c r="J17" s="2">
        <v>12</v>
      </c>
      <c r="K17" s="10">
        <v>1.1000000000000001</v>
      </c>
      <c r="L17">
        <f t="shared" si="3"/>
        <v>1.2</v>
      </c>
      <c r="M17">
        <f t="shared" si="4"/>
        <v>1.3</v>
      </c>
      <c r="N17">
        <f t="shared" si="5"/>
        <v>4.4000000000000004</v>
      </c>
      <c r="O17">
        <f t="shared" si="6"/>
        <v>3.5</v>
      </c>
      <c r="P17" s="7">
        <f t="shared" si="7"/>
        <v>0.25315496300671647</v>
      </c>
      <c r="R17" s="8" t="s">
        <v>22</v>
      </c>
      <c r="V17" s="1"/>
    </row>
    <row r="18" spans="1:22" x14ac:dyDescent="0.3">
      <c r="A18" s="2">
        <v>13</v>
      </c>
      <c r="B18" s="10">
        <v>13.2</v>
      </c>
      <c r="C18">
        <f t="shared" si="0"/>
        <v>12.5</v>
      </c>
      <c r="D18" s="7">
        <f t="shared" si="2"/>
        <v>13.587551375569298</v>
      </c>
      <c r="G18" s="1"/>
      <c r="J18" s="2">
        <v>13</v>
      </c>
      <c r="K18" s="10">
        <v>3.6</v>
      </c>
      <c r="L18">
        <f t="shared" si="3"/>
        <v>1.1000000000000001</v>
      </c>
      <c r="M18">
        <f t="shared" si="4"/>
        <v>1.2</v>
      </c>
      <c r="N18">
        <f t="shared" si="5"/>
        <v>1.3</v>
      </c>
      <c r="O18">
        <f t="shared" si="6"/>
        <v>4.4000000000000004</v>
      </c>
      <c r="P18" s="7">
        <f t="shared" si="7"/>
        <v>3.0379886104496965</v>
      </c>
      <c r="V18" s="1"/>
    </row>
    <row r="19" spans="1:22" x14ac:dyDescent="0.3">
      <c r="A19" s="2">
        <v>14</v>
      </c>
      <c r="B19" s="10">
        <v>14.5</v>
      </c>
      <c r="C19">
        <f t="shared" si="0"/>
        <v>13.2</v>
      </c>
      <c r="D19" s="7">
        <f t="shared" si="2"/>
        <v>14.292838893620175</v>
      </c>
      <c r="G19" s="1"/>
      <c r="J19" s="2">
        <v>14</v>
      </c>
      <c r="K19" s="10">
        <v>4.0999999999999996</v>
      </c>
      <c r="L19">
        <f t="shared" si="3"/>
        <v>3.6</v>
      </c>
      <c r="M19">
        <f t="shared" si="4"/>
        <v>1.1000000000000001</v>
      </c>
      <c r="N19">
        <f t="shared" si="5"/>
        <v>1.2</v>
      </c>
      <c r="O19">
        <f t="shared" si="6"/>
        <v>1.3</v>
      </c>
      <c r="P19" s="7">
        <f t="shared" si="7"/>
        <v>4.2775758722861656</v>
      </c>
      <c r="V19" s="1"/>
    </row>
    <row r="20" spans="1:22" x14ac:dyDescent="0.3">
      <c r="A20" s="2">
        <v>15</v>
      </c>
      <c r="B20" s="10">
        <v>15.1</v>
      </c>
      <c r="C20">
        <f t="shared" si="0"/>
        <v>14.5</v>
      </c>
      <c r="D20" s="7">
        <f t="shared" si="2"/>
        <v>15.602658570000372</v>
      </c>
      <c r="G20" s="1"/>
      <c r="J20" s="2">
        <v>15</v>
      </c>
      <c r="K20" s="10">
        <v>1.3</v>
      </c>
      <c r="L20">
        <f t="shared" si="3"/>
        <v>4.0999999999999996</v>
      </c>
      <c r="M20">
        <f t="shared" si="4"/>
        <v>3.6</v>
      </c>
      <c r="N20">
        <f t="shared" si="5"/>
        <v>1.1000000000000001</v>
      </c>
      <c r="O20">
        <f t="shared" si="6"/>
        <v>1.2</v>
      </c>
      <c r="P20" s="7">
        <f t="shared" si="7"/>
        <v>1.2173902468471887</v>
      </c>
      <c r="V20" s="1"/>
    </row>
    <row r="21" spans="1:22" x14ac:dyDescent="0.3">
      <c r="A21" s="2">
        <v>16</v>
      </c>
      <c r="B21" s="10">
        <v>16.5</v>
      </c>
      <c r="C21">
        <f t="shared" si="0"/>
        <v>15.1</v>
      </c>
      <c r="D21" s="7">
        <f t="shared" si="2"/>
        <v>16.207190728329696</v>
      </c>
      <c r="G21" s="1"/>
      <c r="J21" s="2">
        <v>16</v>
      </c>
      <c r="K21" s="10">
        <v>1.4</v>
      </c>
      <c r="L21">
        <f t="shared" si="3"/>
        <v>1.3</v>
      </c>
      <c r="M21">
        <f t="shared" si="4"/>
        <v>4.0999999999999996</v>
      </c>
      <c r="N21">
        <f t="shared" si="5"/>
        <v>3.6</v>
      </c>
      <c r="O21">
        <f t="shared" si="6"/>
        <v>1.1000000000000001</v>
      </c>
      <c r="P21" s="7">
        <f t="shared" si="7"/>
        <v>0.43269505361062954</v>
      </c>
      <c r="V21" s="1"/>
    </row>
    <row r="22" spans="1:22" x14ac:dyDescent="0.3">
      <c r="A22" s="2">
        <v>17</v>
      </c>
      <c r="B22" s="10">
        <v>17.399999999999999</v>
      </c>
      <c r="C22">
        <f t="shared" si="0"/>
        <v>16.5</v>
      </c>
      <c r="D22" s="7">
        <f t="shared" si="2"/>
        <v>17.617765764431446</v>
      </c>
      <c r="G22" s="1"/>
      <c r="J22" s="2">
        <v>17</v>
      </c>
      <c r="K22" s="10">
        <v>1.5</v>
      </c>
      <c r="L22">
        <f t="shared" si="3"/>
        <v>1.4</v>
      </c>
      <c r="M22">
        <f t="shared" si="4"/>
        <v>1.3</v>
      </c>
      <c r="N22">
        <f t="shared" si="5"/>
        <v>4.0999999999999996</v>
      </c>
      <c r="O22">
        <f t="shared" si="6"/>
        <v>3.6</v>
      </c>
      <c r="P22" s="7">
        <f t="shared" si="7"/>
        <v>0.30925497337237084</v>
      </c>
      <c r="V22" s="1"/>
    </row>
    <row r="23" spans="1:22" x14ac:dyDescent="0.3">
      <c r="A23" s="2">
        <v>18</v>
      </c>
      <c r="B23" s="10">
        <v>18</v>
      </c>
      <c r="C23">
        <f t="shared" si="0"/>
        <v>17.399999999999999</v>
      </c>
      <c r="D23" s="7">
        <f t="shared" si="2"/>
        <v>18.52456400192543</v>
      </c>
      <c r="G23" s="1"/>
      <c r="J23" s="2">
        <v>18</v>
      </c>
      <c r="K23" s="10">
        <v>3.1</v>
      </c>
      <c r="L23">
        <f t="shared" si="3"/>
        <v>1.5</v>
      </c>
      <c r="M23">
        <f t="shared" si="4"/>
        <v>1.4</v>
      </c>
      <c r="N23">
        <f t="shared" si="5"/>
        <v>1.3</v>
      </c>
      <c r="O23">
        <f t="shared" si="6"/>
        <v>4.0999999999999996</v>
      </c>
      <c r="P23" s="7">
        <f t="shared" si="7"/>
        <v>2.7672894414715872</v>
      </c>
      <c r="V23" s="1"/>
    </row>
    <row r="24" spans="1:22" x14ac:dyDescent="0.3">
      <c r="A24" s="2">
        <v>19</v>
      </c>
      <c r="B24" s="10">
        <v>19.3</v>
      </c>
      <c r="C24">
        <f t="shared" si="0"/>
        <v>18</v>
      </c>
      <c r="D24" s="7">
        <f t="shared" si="2"/>
        <v>19.129096160254754</v>
      </c>
      <c r="G24" s="1"/>
      <c r="J24" s="2">
        <v>19</v>
      </c>
      <c r="K24" s="10">
        <v>4.9000000000000004</v>
      </c>
      <c r="L24">
        <f t="shared" si="3"/>
        <v>3.1</v>
      </c>
      <c r="M24">
        <f t="shared" si="4"/>
        <v>1.5</v>
      </c>
      <c r="N24">
        <f t="shared" si="5"/>
        <v>1.4</v>
      </c>
      <c r="O24">
        <f t="shared" si="6"/>
        <v>1.3</v>
      </c>
      <c r="P24" s="7">
        <f t="shared" si="7"/>
        <v>4.047603630205181</v>
      </c>
      <c r="V24" s="1"/>
    </row>
    <row r="25" spans="1:22" x14ac:dyDescent="0.3">
      <c r="A25" s="2">
        <v>20</v>
      </c>
      <c r="B25" s="10">
        <v>20.9</v>
      </c>
      <c r="C25">
        <f t="shared" si="0"/>
        <v>19.3</v>
      </c>
      <c r="D25" s="7">
        <f t="shared" si="2"/>
        <v>20.438915836634951</v>
      </c>
      <c r="G25" s="1"/>
      <c r="J25" s="2">
        <v>20</v>
      </c>
      <c r="K25" s="10">
        <v>1.1000000000000001</v>
      </c>
      <c r="L25">
        <f t="shared" si="3"/>
        <v>4.9000000000000004</v>
      </c>
      <c r="M25">
        <f t="shared" si="4"/>
        <v>3.1</v>
      </c>
      <c r="N25">
        <f t="shared" si="5"/>
        <v>1.5</v>
      </c>
      <c r="O25">
        <f t="shared" si="6"/>
        <v>1.4</v>
      </c>
      <c r="P25" s="7">
        <f t="shared" si="7"/>
        <v>0.39660229656409718</v>
      </c>
      <c r="V25" s="1"/>
    </row>
    <row r="26" spans="1:22" x14ac:dyDescent="0.3">
      <c r="A26" s="2"/>
      <c r="G26" s="1"/>
      <c r="J26" s="2"/>
      <c r="V26" s="1"/>
    </row>
    <row r="27" spans="1:22" x14ac:dyDescent="0.3">
      <c r="A27" s="2"/>
      <c r="G27" s="1"/>
      <c r="J27" s="2"/>
      <c r="V27" s="1"/>
    </row>
    <row r="28" spans="1:22" x14ac:dyDescent="0.3">
      <c r="A28" s="2"/>
      <c r="G28" s="1"/>
      <c r="J28" s="2"/>
      <c r="V28" s="1"/>
    </row>
    <row r="29" spans="1:22" x14ac:dyDescent="0.3">
      <c r="A29" s="2"/>
      <c r="G29" s="1"/>
      <c r="J29" s="2"/>
      <c r="V29" s="1"/>
    </row>
    <row r="30" spans="1:22" x14ac:dyDescent="0.3">
      <c r="A30" s="2"/>
      <c r="G30" s="1"/>
      <c r="J30" s="2"/>
      <c r="V30" s="1"/>
    </row>
    <row r="31" spans="1:22" x14ac:dyDescent="0.3">
      <c r="A31" s="2"/>
      <c r="G31" s="1"/>
      <c r="J31" s="2"/>
      <c r="V31" s="1"/>
    </row>
    <row r="32" spans="1:22" x14ac:dyDescent="0.3">
      <c r="A32" s="2"/>
      <c r="G32" s="1"/>
      <c r="J32" s="2"/>
      <c r="V32" s="1"/>
    </row>
    <row r="33" spans="1:22" x14ac:dyDescent="0.3">
      <c r="A33" s="2"/>
      <c r="G33" s="1"/>
      <c r="J33" s="2"/>
      <c r="V33" s="1"/>
    </row>
    <row r="34" spans="1:22" x14ac:dyDescent="0.3">
      <c r="A34" s="2"/>
      <c r="G34" s="1"/>
      <c r="J34" s="2"/>
      <c r="V34" s="1"/>
    </row>
    <row r="35" spans="1:22" x14ac:dyDescent="0.3">
      <c r="A35" s="2"/>
      <c r="G35" s="1"/>
      <c r="J35" s="2"/>
      <c r="V35" s="1"/>
    </row>
    <row r="36" spans="1:22" x14ac:dyDescent="0.3">
      <c r="A36" s="2"/>
      <c r="G36" s="1"/>
      <c r="J36" s="2"/>
      <c r="V36" s="1"/>
    </row>
    <row r="37" spans="1:22" x14ac:dyDescent="0.3">
      <c r="A37" s="2"/>
      <c r="G37" s="1"/>
      <c r="J37" s="2"/>
      <c r="V37" s="1"/>
    </row>
    <row r="38" spans="1:22" x14ac:dyDescent="0.3">
      <c r="A38" s="5"/>
      <c r="B38" s="3"/>
      <c r="C38" s="3"/>
      <c r="D38" s="3"/>
      <c r="E38" s="3"/>
      <c r="F38" s="3"/>
      <c r="G38" s="4"/>
      <c r="J38" s="5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4"/>
    </row>
    <row r="42" spans="1:22" x14ac:dyDescent="0.3">
      <c r="A42" s="23" t="s">
        <v>5</v>
      </c>
      <c r="B42" s="24"/>
      <c r="C42" s="24"/>
      <c r="D42" s="24"/>
      <c r="E42" s="24"/>
      <c r="F42" s="24"/>
      <c r="G42" s="25"/>
      <c r="J42" s="23" t="s">
        <v>12</v>
      </c>
      <c r="K42" s="24"/>
      <c r="L42" s="24"/>
      <c r="M42" s="24"/>
      <c r="N42" s="24"/>
      <c r="O42" s="24"/>
      <c r="P42" s="24"/>
      <c r="Q42" s="24"/>
      <c r="R42" s="25"/>
    </row>
    <row r="43" spans="1:22" x14ac:dyDescent="0.3">
      <c r="A43" s="26"/>
      <c r="B43" s="27"/>
      <c r="C43" s="27"/>
      <c r="D43" s="27"/>
      <c r="E43" s="27"/>
      <c r="F43" s="27"/>
      <c r="G43" s="28"/>
      <c r="J43" s="26"/>
      <c r="K43" s="27"/>
      <c r="L43" s="27"/>
      <c r="M43" s="27"/>
      <c r="N43" s="27"/>
      <c r="O43" s="27"/>
      <c r="P43" s="27"/>
      <c r="Q43" s="27"/>
      <c r="R43" s="28"/>
    </row>
    <row r="44" spans="1:22" x14ac:dyDescent="0.3">
      <c r="A44" s="29" t="s">
        <v>26</v>
      </c>
      <c r="B44" s="30"/>
      <c r="C44" s="30"/>
      <c r="D44" s="30"/>
      <c r="E44" s="30"/>
      <c r="F44" s="30"/>
      <c r="G44" s="31"/>
      <c r="J44" s="29" t="s">
        <v>27</v>
      </c>
      <c r="K44" s="30"/>
      <c r="L44" s="30"/>
      <c r="M44" s="30"/>
      <c r="N44" s="30"/>
      <c r="O44" s="30"/>
      <c r="P44" s="30"/>
      <c r="Q44" s="30"/>
      <c r="R44" s="31"/>
    </row>
    <row r="45" spans="1:22" x14ac:dyDescent="0.3">
      <c r="A45" s="29"/>
      <c r="B45" s="30"/>
      <c r="C45" s="30"/>
      <c r="D45" s="30"/>
      <c r="E45" s="30"/>
      <c r="F45" s="30"/>
      <c r="G45" s="31"/>
      <c r="J45" s="29"/>
      <c r="K45" s="30"/>
      <c r="L45" s="30"/>
      <c r="M45" s="30"/>
      <c r="N45" s="30"/>
      <c r="O45" s="30"/>
      <c r="P45" s="30"/>
      <c r="Q45" s="30"/>
      <c r="R45" s="31"/>
    </row>
    <row r="46" spans="1:22" x14ac:dyDescent="0.3">
      <c r="A46" s="21" t="s">
        <v>15</v>
      </c>
      <c r="B46" s="22" t="s">
        <v>2</v>
      </c>
      <c r="C46" s="22" t="s">
        <v>8</v>
      </c>
      <c r="D46" s="22" t="s">
        <v>23</v>
      </c>
      <c r="E46" s="22"/>
      <c r="F46" s="19" t="s">
        <v>21</v>
      </c>
      <c r="G46" s="20" t="s">
        <v>1</v>
      </c>
      <c r="J46" s="21" t="s">
        <v>15</v>
      </c>
      <c r="K46" s="22" t="s">
        <v>2</v>
      </c>
      <c r="L46" t="s">
        <v>24</v>
      </c>
      <c r="M46" s="22" t="s">
        <v>8</v>
      </c>
      <c r="N46" s="22" t="s">
        <v>23</v>
      </c>
      <c r="O46" s="22" t="s">
        <v>25</v>
      </c>
      <c r="Q46" s="19" t="s">
        <v>21</v>
      </c>
      <c r="R46" s="20" t="s">
        <v>1</v>
      </c>
    </row>
    <row r="47" spans="1:22" x14ac:dyDescent="0.3">
      <c r="A47" s="2">
        <v>1</v>
      </c>
      <c r="B47" s="9">
        <v>1</v>
      </c>
      <c r="F47" s="11">
        <f t="array" ref="F47:G47">LINEST(B48:B56,C48:C56,TRUE,TRUE)</f>
        <v>3.3477321814254821E-2</v>
      </c>
      <c r="G47" s="12">
        <v>6.2807775377969763</v>
      </c>
      <c r="J47" s="2">
        <v>1</v>
      </c>
      <c r="K47" s="9">
        <v>1</v>
      </c>
      <c r="Q47" s="11">
        <f t="array" ref="Q47:R47">LINEST(L49:L57,M49:M57,TRUE,TRUE)</f>
        <v>-1.0571909167367537</v>
      </c>
      <c r="R47" s="12">
        <v>-2.3111858704793948</v>
      </c>
    </row>
    <row r="48" spans="1:22" x14ac:dyDescent="0.3">
      <c r="A48" s="2">
        <v>2</v>
      </c>
      <c r="B48" s="13">
        <v>3</v>
      </c>
      <c r="C48" s="11">
        <f>B47</f>
        <v>1</v>
      </c>
      <c r="G48" s="1"/>
      <c r="J48" s="2">
        <v>2</v>
      </c>
      <c r="K48">
        <v>3</v>
      </c>
      <c r="L48">
        <f>K47-K48</f>
        <v>-2</v>
      </c>
      <c r="R48" s="1"/>
    </row>
    <row r="49" spans="1:18" x14ac:dyDescent="0.3">
      <c r="A49" s="2">
        <v>3</v>
      </c>
      <c r="B49" s="13">
        <v>2</v>
      </c>
      <c r="C49" s="11">
        <f t="shared" ref="C49:C66" si="8">B48</f>
        <v>3</v>
      </c>
      <c r="G49" s="1"/>
      <c r="J49" s="2">
        <v>3</v>
      </c>
      <c r="K49">
        <v>2</v>
      </c>
      <c r="L49" s="11">
        <f t="shared" ref="L49:L66" si="9">K48-K49</f>
        <v>1</v>
      </c>
      <c r="M49" s="11">
        <f>L48</f>
        <v>-2</v>
      </c>
      <c r="R49" s="1"/>
    </row>
    <row r="50" spans="1:18" x14ac:dyDescent="0.3">
      <c r="A50" s="2">
        <v>4</v>
      </c>
      <c r="B50" s="13">
        <v>5</v>
      </c>
      <c r="C50" s="11">
        <f t="shared" si="8"/>
        <v>2</v>
      </c>
      <c r="G50" s="1"/>
      <c r="J50" s="2">
        <v>4</v>
      </c>
      <c r="K50">
        <v>5</v>
      </c>
      <c r="L50" s="11">
        <f t="shared" si="9"/>
        <v>-3</v>
      </c>
      <c r="M50" s="11">
        <f t="shared" ref="M50:M66" si="10">L49</f>
        <v>1</v>
      </c>
      <c r="R50" s="1"/>
    </row>
    <row r="51" spans="1:18" x14ac:dyDescent="0.3">
      <c r="A51" s="2">
        <v>5</v>
      </c>
      <c r="B51" s="13">
        <v>2</v>
      </c>
      <c r="C51" s="11">
        <f t="shared" si="8"/>
        <v>5</v>
      </c>
      <c r="G51" s="1"/>
      <c r="J51" s="2">
        <v>5</v>
      </c>
      <c r="K51">
        <v>2</v>
      </c>
      <c r="L51" s="11">
        <f t="shared" si="9"/>
        <v>3</v>
      </c>
      <c r="M51" s="11">
        <f t="shared" si="10"/>
        <v>-3</v>
      </c>
      <c r="R51" s="1"/>
    </row>
    <row r="52" spans="1:18" x14ac:dyDescent="0.3">
      <c r="A52" s="2">
        <v>6</v>
      </c>
      <c r="B52" s="13">
        <v>9</v>
      </c>
      <c r="C52" s="11">
        <f t="shared" si="8"/>
        <v>2</v>
      </c>
      <c r="G52" s="1"/>
      <c r="J52" s="2">
        <v>6</v>
      </c>
      <c r="K52">
        <v>9</v>
      </c>
      <c r="L52" s="11">
        <f t="shared" si="9"/>
        <v>-7</v>
      </c>
      <c r="M52" s="11">
        <f t="shared" si="10"/>
        <v>3</v>
      </c>
      <c r="R52" s="1"/>
    </row>
    <row r="53" spans="1:18" x14ac:dyDescent="0.3">
      <c r="A53" s="2">
        <v>7</v>
      </c>
      <c r="B53" s="13">
        <v>5</v>
      </c>
      <c r="C53" s="11">
        <f t="shared" si="8"/>
        <v>9</v>
      </c>
      <c r="G53" s="1"/>
      <c r="J53" s="2">
        <v>7</v>
      </c>
      <c r="K53">
        <v>5</v>
      </c>
      <c r="L53" s="11">
        <f t="shared" si="9"/>
        <v>4</v>
      </c>
      <c r="M53" s="11">
        <f t="shared" si="10"/>
        <v>-7</v>
      </c>
      <c r="R53" s="1"/>
    </row>
    <row r="54" spans="1:18" x14ac:dyDescent="0.3">
      <c r="A54" s="2">
        <v>8</v>
      </c>
      <c r="B54" s="13">
        <v>12</v>
      </c>
      <c r="C54" s="11">
        <f t="shared" si="8"/>
        <v>5</v>
      </c>
      <c r="G54" s="1"/>
      <c r="J54" s="2">
        <v>8</v>
      </c>
      <c r="K54">
        <v>12</v>
      </c>
      <c r="L54" s="11">
        <f t="shared" si="9"/>
        <v>-7</v>
      </c>
      <c r="M54" s="11">
        <f t="shared" si="10"/>
        <v>4</v>
      </c>
      <c r="R54" s="1"/>
    </row>
    <row r="55" spans="1:18" x14ac:dyDescent="0.3">
      <c r="A55" s="2">
        <v>9</v>
      </c>
      <c r="B55" s="13">
        <v>5</v>
      </c>
      <c r="C55" s="11">
        <f t="shared" si="8"/>
        <v>12</v>
      </c>
      <c r="G55" s="1"/>
      <c r="J55" s="2">
        <v>9</v>
      </c>
      <c r="K55">
        <v>5</v>
      </c>
      <c r="L55" s="11">
        <f t="shared" si="9"/>
        <v>7</v>
      </c>
      <c r="M55" s="11">
        <f t="shared" si="10"/>
        <v>-7</v>
      </c>
      <c r="R55" s="1"/>
    </row>
    <row r="56" spans="1:18" x14ac:dyDescent="0.3">
      <c r="A56" s="2">
        <v>10</v>
      </c>
      <c r="B56" s="13">
        <v>15</v>
      </c>
      <c r="C56" s="11">
        <f t="shared" si="8"/>
        <v>5</v>
      </c>
      <c r="G56" s="1"/>
      <c r="J56" s="2">
        <v>10</v>
      </c>
      <c r="K56">
        <v>15</v>
      </c>
      <c r="L56" s="11">
        <f t="shared" si="9"/>
        <v>-10</v>
      </c>
      <c r="M56" s="11">
        <f t="shared" si="10"/>
        <v>7</v>
      </c>
      <c r="R56" s="1"/>
    </row>
    <row r="57" spans="1:18" x14ac:dyDescent="0.3">
      <c r="A57" s="2">
        <v>11</v>
      </c>
      <c r="B57" s="10">
        <v>9</v>
      </c>
      <c r="C57">
        <f t="shared" si="8"/>
        <v>15</v>
      </c>
      <c r="D57" s="7">
        <f>$G$47+$F$47*C57</f>
        <v>6.7829373650107989</v>
      </c>
      <c r="E57" s="8" t="s">
        <v>14</v>
      </c>
      <c r="G57" s="1"/>
      <c r="J57" s="2">
        <v>11</v>
      </c>
      <c r="K57">
        <v>9</v>
      </c>
      <c r="L57" s="11">
        <f t="shared" si="9"/>
        <v>6</v>
      </c>
      <c r="M57" s="11">
        <f t="shared" si="10"/>
        <v>-10</v>
      </c>
      <c r="R57" s="1"/>
    </row>
    <row r="58" spans="1:18" x14ac:dyDescent="0.3">
      <c r="A58" s="2">
        <v>12</v>
      </c>
      <c r="B58" s="10">
        <v>16</v>
      </c>
      <c r="C58">
        <f t="shared" si="8"/>
        <v>9</v>
      </c>
      <c r="D58" s="7">
        <f t="shared" ref="D58:D66" si="11">$G$47+$F$47*C58</f>
        <v>6.5820734341252694</v>
      </c>
      <c r="G58" s="1"/>
      <c r="J58" s="2">
        <v>12</v>
      </c>
      <c r="K58" s="10">
        <v>16</v>
      </c>
      <c r="L58">
        <f t="shared" si="9"/>
        <v>-7</v>
      </c>
      <c r="M58">
        <f t="shared" si="10"/>
        <v>6</v>
      </c>
      <c r="N58">
        <f t="shared" ref="N58:N66" si="12">$R$47+$Q$47*M58</f>
        <v>-8.6543313708999179</v>
      </c>
      <c r="O58" s="7">
        <f t="shared" ref="O58:O66" si="13">K58+N59</f>
        <v>21.089150546677882</v>
      </c>
      <c r="P58" s="8" t="s">
        <v>14</v>
      </c>
      <c r="R58" s="1"/>
    </row>
    <row r="59" spans="1:18" x14ac:dyDescent="0.3">
      <c r="A59" s="2">
        <v>13</v>
      </c>
      <c r="B59" s="10">
        <v>7</v>
      </c>
      <c r="C59">
        <f t="shared" si="8"/>
        <v>16</v>
      </c>
      <c r="D59" s="7">
        <f t="shared" si="11"/>
        <v>6.8164146868250537</v>
      </c>
      <c r="G59" s="1"/>
      <c r="J59" s="2">
        <v>13</v>
      </c>
      <c r="K59" s="10">
        <v>7</v>
      </c>
      <c r="L59">
        <f t="shared" si="9"/>
        <v>9</v>
      </c>
      <c r="M59">
        <f t="shared" si="10"/>
        <v>-7</v>
      </c>
      <c r="N59">
        <f t="shared" si="12"/>
        <v>5.0891505466778817</v>
      </c>
      <c r="O59" s="7">
        <f t="shared" si="13"/>
        <v>-4.8259041211101792</v>
      </c>
      <c r="R59" s="1"/>
    </row>
    <row r="60" spans="1:18" x14ac:dyDescent="0.3">
      <c r="A60" s="2">
        <v>14</v>
      </c>
      <c r="B60" s="10">
        <v>14</v>
      </c>
      <c r="C60">
        <f t="shared" si="8"/>
        <v>7</v>
      </c>
      <c r="D60" s="7">
        <f t="shared" si="11"/>
        <v>6.5151187904967598</v>
      </c>
      <c r="G60" s="1"/>
      <c r="J60" s="2">
        <v>14</v>
      </c>
      <c r="K60" s="10">
        <v>14</v>
      </c>
      <c r="L60">
        <f t="shared" si="9"/>
        <v>-7</v>
      </c>
      <c r="M60">
        <f t="shared" si="10"/>
        <v>9</v>
      </c>
      <c r="N60">
        <f t="shared" si="12"/>
        <v>-11.825904121110179</v>
      </c>
      <c r="O60" s="7">
        <f t="shared" si="13"/>
        <v>19.089150546677882</v>
      </c>
      <c r="R60" s="1"/>
    </row>
    <row r="61" spans="1:18" x14ac:dyDescent="0.3">
      <c r="A61" s="2">
        <v>15</v>
      </c>
      <c r="B61" s="10">
        <v>8</v>
      </c>
      <c r="C61">
        <f t="shared" si="8"/>
        <v>14</v>
      </c>
      <c r="D61" s="7">
        <f t="shared" si="11"/>
        <v>6.7494600431965441</v>
      </c>
      <c r="G61" s="1"/>
      <c r="J61" s="2">
        <v>15</v>
      </c>
      <c r="K61" s="10">
        <v>8</v>
      </c>
      <c r="L61">
        <f t="shared" si="9"/>
        <v>6</v>
      </c>
      <c r="M61">
        <f t="shared" si="10"/>
        <v>-7</v>
      </c>
      <c r="N61">
        <f t="shared" si="12"/>
        <v>5.0891505466778817</v>
      </c>
      <c r="O61" s="7">
        <f t="shared" si="13"/>
        <v>-0.65433137089991789</v>
      </c>
      <c r="R61" s="1"/>
    </row>
    <row r="62" spans="1:18" x14ac:dyDescent="0.3">
      <c r="A62" s="2">
        <v>16</v>
      </c>
      <c r="B62" s="10">
        <v>16</v>
      </c>
      <c r="C62">
        <f t="shared" si="8"/>
        <v>8</v>
      </c>
      <c r="D62" s="7">
        <f t="shared" si="11"/>
        <v>6.5485961123110146</v>
      </c>
      <c r="G62" s="1"/>
      <c r="J62" s="2">
        <v>16</v>
      </c>
      <c r="K62" s="10">
        <v>16</v>
      </c>
      <c r="L62">
        <f t="shared" si="9"/>
        <v>-8</v>
      </c>
      <c r="M62">
        <f t="shared" si="10"/>
        <v>6</v>
      </c>
      <c r="N62">
        <f t="shared" si="12"/>
        <v>-8.6543313708999179</v>
      </c>
      <c r="O62" s="7">
        <f t="shared" si="13"/>
        <v>22.146341463414636</v>
      </c>
      <c r="R62" s="1"/>
    </row>
    <row r="63" spans="1:18" x14ac:dyDescent="0.3">
      <c r="A63" s="2">
        <v>17</v>
      </c>
      <c r="B63" s="10">
        <v>6</v>
      </c>
      <c r="C63">
        <f t="shared" si="8"/>
        <v>16</v>
      </c>
      <c r="D63" s="7">
        <f t="shared" si="11"/>
        <v>6.8164146868250537</v>
      </c>
      <c r="G63" s="1"/>
      <c r="J63" s="2">
        <v>17</v>
      </c>
      <c r="K63" s="10">
        <v>6</v>
      </c>
      <c r="L63">
        <f t="shared" si="9"/>
        <v>10</v>
      </c>
      <c r="M63">
        <f t="shared" si="10"/>
        <v>-8</v>
      </c>
      <c r="N63">
        <f t="shared" si="12"/>
        <v>6.1463414634146343</v>
      </c>
      <c r="O63" s="7">
        <f t="shared" si="13"/>
        <v>-6.8830950378469318</v>
      </c>
      <c r="R63" s="1"/>
    </row>
    <row r="64" spans="1:18" x14ac:dyDescent="0.3">
      <c r="A64" s="2">
        <v>18</v>
      </c>
      <c r="B64" s="10">
        <v>15</v>
      </c>
      <c r="C64">
        <f t="shared" si="8"/>
        <v>6</v>
      </c>
      <c r="D64" s="7">
        <f t="shared" si="11"/>
        <v>6.481641468682505</v>
      </c>
      <c r="G64" s="1"/>
      <c r="J64" s="2">
        <v>18</v>
      </c>
      <c r="K64" s="10">
        <v>15</v>
      </c>
      <c r="L64">
        <f t="shared" si="9"/>
        <v>-9</v>
      </c>
      <c r="M64">
        <f t="shared" si="10"/>
        <v>10</v>
      </c>
      <c r="N64">
        <f t="shared" si="12"/>
        <v>-12.883095037846932</v>
      </c>
      <c r="O64" s="7">
        <f t="shared" si="13"/>
        <v>22.203532380151387</v>
      </c>
      <c r="R64" s="1"/>
    </row>
    <row r="65" spans="1:18" x14ac:dyDescent="0.3">
      <c r="A65" s="2">
        <v>19</v>
      </c>
      <c r="B65" s="10">
        <v>4</v>
      </c>
      <c r="C65">
        <f t="shared" si="8"/>
        <v>15</v>
      </c>
      <c r="D65" s="7">
        <f t="shared" si="11"/>
        <v>6.7829373650107989</v>
      </c>
      <c r="G65" s="1"/>
      <c r="J65" s="2">
        <v>19</v>
      </c>
      <c r="K65" s="10">
        <v>4</v>
      </c>
      <c r="L65">
        <f t="shared" si="9"/>
        <v>11</v>
      </c>
      <c r="M65">
        <f t="shared" si="10"/>
        <v>-9</v>
      </c>
      <c r="N65">
        <f t="shared" si="12"/>
        <v>7.2035323801513886</v>
      </c>
      <c r="O65" s="7">
        <f t="shared" si="13"/>
        <v>-9.9402859545836861</v>
      </c>
      <c r="R65" s="1"/>
    </row>
    <row r="66" spans="1:18" x14ac:dyDescent="0.3">
      <c r="A66" s="2">
        <v>20</v>
      </c>
      <c r="B66" s="10">
        <v>19</v>
      </c>
      <c r="C66">
        <f t="shared" si="8"/>
        <v>4</v>
      </c>
      <c r="D66" s="7">
        <f t="shared" si="11"/>
        <v>6.4146868250539955</v>
      </c>
      <c r="G66" s="1"/>
      <c r="J66" s="2">
        <v>20</v>
      </c>
      <c r="K66" s="10">
        <v>19</v>
      </c>
      <c r="L66">
        <f t="shared" si="9"/>
        <v>-15</v>
      </c>
      <c r="M66">
        <f t="shared" si="10"/>
        <v>11</v>
      </c>
      <c r="N66">
        <f t="shared" si="12"/>
        <v>-13.940285954583686</v>
      </c>
      <c r="O66" s="7">
        <f t="shared" si="13"/>
        <v>19</v>
      </c>
      <c r="R66" s="1"/>
    </row>
    <row r="67" spans="1:18" x14ac:dyDescent="0.3">
      <c r="A67" s="2"/>
      <c r="G67" s="1"/>
      <c r="J67" s="2"/>
      <c r="R67" s="1"/>
    </row>
    <row r="68" spans="1:18" x14ac:dyDescent="0.3">
      <c r="A68" s="2"/>
      <c r="G68" s="1"/>
      <c r="J68" s="2"/>
      <c r="R68" s="1"/>
    </row>
    <row r="69" spans="1:18" x14ac:dyDescent="0.3">
      <c r="A69" s="2"/>
      <c r="G69" s="1"/>
      <c r="J69" s="2"/>
      <c r="R69" s="1"/>
    </row>
    <row r="70" spans="1:18" x14ac:dyDescent="0.3">
      <c r="A70" s="2"/>
      <c r="G70" s="1"/>
      <c r="J70" s="2"/>
      <c r="R70" s="1"/>
    </row>
    <row r="71" spans="1:18" x14ac:dyDescent="0.3">
      <c r="A71" s="2"/>
      <c r="G71" s="1"/>
      <c r="J71" s="2"/>
      <c r="R71" s="1"/>
    </row>
    <row r="72" spans="1:18" x14ac:dyDescent="0.3">
      <c r="A72" s="2"/>
      <c r="G72" s="1"/>
      <c r="J72" s="2"/>
      <c r="R72" s="1"/>
    </row>
    <row r="73" spans="1:18" x14ac:dyDescent="0.3">
      <c r="A73" s="2"/>
      <c r="G73" s="1"/>
      <c r="J73" s="2"/>
      <c r="R73" s="1"/>
    </row>
    <row r="74" spans="1:18" x14ac:dyDescent="0.3">
      <c r="A74" s="2"/>
      <c r="G74" s="1"/>
      <c r="J74" s="2"/>
      <c r="R74" s="1"/>
    </row>
    <row r="75" spans="1:18" x14ac:dyDescent="0.3">
      <c r="A75" s="2"/>
      <c r="G75" s="1"/>
      <c r="J75" s="2"/>
      <c r="R75" s="1"/>
    </row>
    <row r="76" spans="1:18" x14ac:dyDescent="0.3">
      <c r="A76" s="2"/>
      <c r="G76" s="1"/>
      <c r="J76" s="2"/>
      <c r="R76" s="1"/>
    </row>
    <row r="77" spans="1:18" x14ac:dyDescent="0.3">
      <c r="A77" s="2"/>
      <c r="G77" s="1"/>
      <c r="J77" s="2"/>
      <c r="R77" s="1"/>
    </row>
    <row r="78" spans="1:18" x14ac:dyDescent="0.3">
      <c r="A78" s="2"/>
      <c r="G78" s="1"/>
      <c r="J78" s="2"/>
      <c r="R78" s="1"/>
    </row>
    <row r="79" spans="1:18" x14ac:dyDescent="0.3">
      <c r="A79" s="5"/>
      <c r="B79" s="3"/>
      <c r="C79" s="3"/>
      <c r="D79" s="3"/>
      <c r="E79" s="3"/>
      <c r="F79" s="3"/>
      <c r="G79" s="4"/>
      <c r="J79" s="5"/>
      <c r="K79" s="3"/>
      <c r="L79" s="3"/>
      <c r="M79" s="3"/>
      <c r="N79" s="3"/>
      <c r="O79" s="3"/>
      <c r="P79" s="3"/>
      <c r="Q79" s="3"/>
      <c r="R79" s="4"/>
    </row>
  </sheetData>
  <mergeCells count="9">
    <mergeCell ref="A42:G43"/>
    <mergeCell ref="A44:G45"/>
    <mergeCell ref="J42:R43"/>
    <mergeCell ref="J44:R45"/>
    <mergeCell ref="A1:G2"/>
    <mergeCell ref="A3:G4"/>
    <mergeCell ref="E7:G8"/>
    <mergeCell ref="J1:V2"/>
    <mergeCell ref="J3:V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3792B-692B-48E4-A115-2B9AF45F557A}">
  <sheetPr codeName="Sheet2"/>
  <dimension ref="A1:J38"/>
  <sheetViews>
    <sheetView workbookViewId="0">
      <selection activeCell="K12" sqref="K12"/>
    </sheetView>
  </sheetViews>
  <sheetFormatPr defaultRowHeight="16.5" x14ac:dyDescent="0.3"/>
  <sheetData>
    <row r="1" spans="1:9" x14ac:dyDescent="0.3">
      <c r="A1" s="23" t="s">
        <v>7</v>
      </c>
      <c r="B1" s="24"/>
      <c r="C1" s="24"/>
      <c r="D1" s="24"/>
      <c r="E1" s="24"/>
      <c r="F1" s="24"/>
      <c r="G1" s="24"/>
      <c r="H1" s="24"/>
      <c r="I1" s="25"/>
    </row>
    <row r="2" spans="1:9" x14ac:dyDescent="0.3">
      <c r="A2" s="26"/>
      <c r="B2" s="27"/>
      <c r="C2" s="27"/>
      <c r="D2" s="27"/>
      <c r="E2" s="27"/>
      <c r="F2" s="27"/>
      <c r="G2" s="27"/>
      <c r="H2" s="27"/>
      <c r="I2" s="28"/>
    </row>
    <row r="3" spans="1:9" x14ac:dyDescent="0.3">
      <c r="A3" s="29" t="s">
        <v>27</v>
      </c>
      <c r="B3" s="30"/>
      <c r="C3" s="30"/>
      <c r="D3" s="30"/>
      <c r="E3" s="30"/>
      <c r="F3" s="30"/>
      <c r="G3" s="30"/>
      <c r="H3" s="30"/>
      <c r="I3" s="31"/>
    </row>
    <row r="4" spans="1:9" x14ac:dyDescent="0.3">
      <c r="A4" s="29"/>
      <c r="B4" s="30"/>
      <c r="C4" s="30"/>
      <c r="D4" s="30"/>
      <c r="E4" s="30"/>
      <c r="F4" s="30"/>
      <c r="G4" s="30"/>
      <c r="H4" s="30"/>
      <c r="I4" s="31"/>
    </row>
    <row r="5" spans="1:9" x14ac:dyDescent="0.3">
      <c r="A5" s="21" t="s">
        <v>15</v>
      </c>
      <c r="B5" s="22" t="s">
        <v>2</v>
      </c>
      <c r="C5" t="s">
        <v>24</v>
      </c>
      <c r="D5" s="22" t="s">
        <v>8</v>
      </c>
      <c r="E5" s="22" t="s">
        <v>23</v>
      </c>
      <c r="F5" s="22"/>
      <c r="H5" s="19" t="s">
        <v>21</v>
      </c>
      <c r="I5" s="20" t="s">
        <v>1</v>
      </c>
    </row>
    <row r="6" spans="1:9" x14ac:dyDescent="0.3">
      <c r="A6" s="2">
        <v>1</v>
      </c>
      <c r="B6" s="9">
        <v>1</v>
      </c>
      <c r="H6" s="11">
        <f t="array" ref="H6:I6">LINEST(C8:C16,D8:D16,TRUE,TRUE)</f>
        <v>-1.0571909167367537</v>
      </c>
      <c r="I6" s="12">
        <v>-2.3111858704793948</v>
      </c>
    </row>
    <row r="7" spans="1:9" x14ac:dyDescent="0.3">
      <c r="A7" s="2">
        <v>2</v>
      </c>
      <c r="B7">
        <v>3</v>
      </c>
      <c r="C7">
        <f>B6-B7</f>
        <v>-2</v>
      </c>
      <c r="I7" s="1"/>
    </row>
    <row r="8" spans="1:9" x14ac:dyDescent="0.3">
      <c r="A8" s="2">
        <v>3</v>
      </c>
      <c r="B8">
        <v>2</v>
      </c>
      <c r="C8" s="11">
        <f t="shared" ref="C8:C25" si="0">B7-B8</f>
        <v>1</v>
      </c>
      <c r="D8" s="11">
        <f>C7</f>
        <v>-2</v>
      </c>
      <c r="I8" s="1"/>
    </row>
    <row r="9" spans="1:9" x14ac:dyDescent="0.3">
      <c r="A9" s="2">
        <v>4</v>
      </c>
      <c r="B9">
        <v>5</v>
      </c>
      <c r="C9" s="11">
        <f t="shared" si="0"/>
        <v>-3</v>
      </c>
      <c r="D9" s="11">
        <f t="shared" ref="D9:D25" si="1">C8</f>
        <v>1</v>
      </c>
      <c r="I9" s="1"/>
    </row>
    <row r="10" spans="1:9" x14ac:dyDescent="0.3">
      <c r="A10" s="2">
        <v>5</v>
      </c>
      <c r="B10">
        <v>2</v>
      </c>
      <c r="C10" s="11">
        <f t="shared" si="0"/>
        <v>3</v>
      </c>
      <c r="D10" s="11">
        <f t="shared" si="1"/>
        <v>-3</v>
      </c>
      <c r="I10" s="1"/>
    </row>
    <row r="11" spans="1:9" x14ac:dyDescent="0.3">
      <c r="A11" s="2">
        <v>6</v>
      </c>
      <c r="B11">
        <v>9</v>
      </c>
      <c r="C11" s="11">
        <f t="shared" si="0"/>
        <v>-7</v>
      </c>
      <c r="D11" s="11">
        <f t="shared" si="1"/>
        <v>3</v>
      </c>
      <c r="I11" s="1"/>
    </row>
    <row r="12" spans="1:9" x14ac:dyDescent="0.3">
      <c r="A12" s="2">
        <v>7</v>
      </c>
      <c r="B12">
        <v>5</v>
      </c>
      <c r="C12" s="11">
        <f t="shared" si="0"/>
        <v>4</v>
      </c>
      <c r="D12" s="11">
        <f t="shared" si="1"/>
        <v>-7</v>
      </c>
      <c r="I12" s="1"/>
    </row>
    <row r="13" spans="1:9" x14ac:dyDescent="0.3">
      <c r="A13" s="2">
        <v>8</v>
      </c>
      <c r="B13">
        <v>12</v>
      </c>
      <c r="C13" s="11">
        <f t="shared" si="0"/>
        <v>-7</v>
      </c>
      <c r="D13" s="11">
        <f t="shared" si="1"/>
        <v>4</v>
      </c>
      <c r="I13" s="1"/>
    </row>
    <row r="14" spans="1:9" x14ac:dyDescent="0.3">
      <c r="A14" s="2">
        <v>9</v>
      </c>
      <c r="B14">
        <v>5</v>
      </c>
      <c r="C14" s="11">
        <f t="shared" si="0"/>
        <v>7</v>
      </c>
      <c r="D14" s="11">
        <f t="shared" si="1"/>
        <v>-7</v>
      </c>
      <c r="I14" s="1"/>
    </row>
    <row r="15" spans="1:9" x14ac:dyDescent="0.3">
      <c r="A15" s="2">
        <v>10</v>
      </c>
      <c r="B15">
        <v>15</v>
      </c>
      <c r="C15" s="11">
        <f t="shared" si="0"/>
        <v>-10</v>
      </c>
      <c r="D15" s="11">
        <f t="shared" si="1"/>
        <v>7</v>
      </c>
      <c r="I15" s="1"/>
    </row>
    <row r="16" spans="1:9" x14ac:dyDescent="0.3">
      <c r="A16" s="2">
        <v>11</v>
      </c>
      <c r="B16">
        <v>9</v>
      </c>
      <c r="C16" s="11">
        <f t="shared" si="0"/>
        <v>6</v>
      </c>
      <c r="D16" s="11">
        <f t="shared" si="1"/>
        <v>-10</v>
      </c>
      <c r="I16" s="1"/>
    </row>
    <row r="17" spans="1:10" x14ac:dyDescent="0.3">
      <c r="A17" s="2">
        <v>12</v>
      </c>
      <c r="B17" s="10">
        <v>16</v>
      </c>
      <c r="C17">
        <f t="shared" si="0"/>
        <v>-7</v>
      </c>
      <c r="D17">
        <f t="shared" si="1"/>
        <v>6</v>
      </c>
      <c r="E17">
        <f t="shared" ref="E17:E25" si="2">$R$47+$Q$47*D17</f>
        <v>0</v>
      </c>
      <c r="F17" s="7">
        <f>C17-E17</f>
        <v>-7</v>
      </c>
      <c r="G17">
        <f ca="1">OFFSET(F17,-1,0)</f>
        <v>0</v>
      </c>
      <c r="I17" s="1"/>
      <c r="J17">
        <f ca="1">B17+I18</f>
        <v>16</v>
      </c>
    </row>
    <row r="18" spans="1:10" x14ac:dyDescent="0.3">
      <c r="A18" s="2">
        <v>13</v>
      </c>
      <c r="B18" s="10">
        <v>7</v>
      </c>
      <c r="C18">
        <f t="shared" si="0"/>
        <v>9</v>
      </c>
      <c r="D18">
        <f t="shared" si="1"/>
        <v>-7</v>
      </c>
      <c r="E18">
        <f t="shared" si="2"/>
        <v>0</v>
      </c>
      <c r="F18" s="7">
        <f t="shared" ref="F18:F25" si="3">C18-E18</f>
        <v>9</v>
      </c>
      <c r="G18">
        <f t="shared" ref="G18:G25" ca="1" si="4">OFFSET(F18,-1,0)</f>
        <v>-7</v>
      </c>
      <c r="H18">
        <f t="array" aca="1" ref="H18" ca="1">SUMPRODUCT(F18:F25,G18:G25)/SUMSQ(G18:G25)</f>
        <v>-1.1187607573149743</v>
      </c>
      <c r="I18" s="1">
        <f t="array" aca="1" ref="I18" ca="1">$R$47+$Q$47*D18+$AE$59*G18</f>
        <v>0</v>
      </c>
      <c r="J18">
        <f t="shared" ref="J18:J25" ca="1" si="5">B18+I19</f>
        <v>7</v>
      </c>
    </row>
    <row r="19" spans="1:10" x14ac:dyDescent="0.3">
      <c r="A19" s="2">
        <v>14</v>
      </c>
      <c r="B19" s="10">
        <v>14</v>
      </c>
      <c r="C19">
        <f t="shared" si="0"/>
        <v>-7</v>
      </c>
      <c r="D19">
        <f t="shared" si="1"/>
        <v>9</v>
      </c>
      <c r="E19">
        <f t="shared" si="2"/>
        <v>0</v>
      </c>
      <c r="F19" s="7">
        <f t="shared" si="3"/>
        <v>-7</v>
      </c>
      <c r="G19">
        <f t="shared" ca="1" si="4"/>
        <v>9</v>
      </c>
      <c r="I19" s="1">
        <f t="array" aca="1" ref="I19" ca="1">$R$47+$Q$47*D19+$AE$59*G19</f>
        <v>0</v>
      </c>
      <c r="J19">
        <f t="shared" ca="1" si="5"/>
        <v>14</v>
      </c>
    </row>
    <row r="20" spans="1:10" x14ac:dyDescent="0.3">
      <c r="A20" s="2">
        <v>15</v>
      </c>
      <c r="B20" s="10">
        <v>8</v>
      </c>
      <c r="C20">
        <f t="shared" si="0"/>
        <v>6</v>
      </c>
      <c r="D20">
        <f t="shared" si="1"/>
        <v>-7</v>
      </c>
      <c r="E20">
        <f t="shared" si="2"/>
        <v>0</v>
      </c>
      <c r="F20" s="7">
        <f t="shared" si="3"/>
        <v>6</v>
      </c>
      <c r="G20">
        <f t="shared" ca="1" si="4"/>
        <v>-7</v>
      </c>
      <c r="I20" s="1">
        <f t="array" aca="1" ref="I20" ca="1">$R$47+$Q$47*D20+$AE$59*G20</f>
        <v>0</v>
      </c>
      <c r="J20">
        <f t="shared" ca="1" si="5"/>
        <v>8</v>
      </c>
    </row>
    <row r="21" spans="1:10" x14ac:dyDescent="0.3">
      <c r="A21" s="2">
        <v>16</v>
      </c>
      <c r="B21" s="10">
        <v>16</v>
      </c>
      <c r="C21">
        <f t="shared" si="0"/>
        <v>-8</v>
      </c>
      <c r="D21">
        <f t="shared" si="1"/>
        <v>6</v>
      </c>
      <c r="E21">
        <f t="shared" si="2"/>
        <v>0</v>
      </c>
      <c r="F21" s="7">
        <f t="shared" si="3"/>
        <v>-8</v>
      </c>
      <c r="G21">
        <f t="shared" ca="1" si="4"/>
        <v>6</v>
      </c>
      <c r="I21" s="1">
        <f t="array" aca="1" ref="I21" ca="1">$R$47+$Q$47*D21+$AE$59*G21</f>
        <v>0</v>
      </c>
      <c r="J21">
        <f t="shared" ca="1" si="5"/>
        <v>16</v>
      </c>
    </row>
    <row r="22" spans="1:10" x14ac:dyDescent="0.3">
      <c r="A22" s="2">
        <v>17</v>
      </c>
      <c r="B22" s="10">
        <v>6</v>
      </c>
      <c r="C22">
        <f t="shared" si="0"/>
        <v>10</v>
      </c>
      <c r="D22">
        <f t="shared" si="1"/>
        <v>-8</v>
      </c>
      <c r="E22">
        <f t="shared" si="2"/>
        <v>0</v>
      </c>
      <c r="F22" s="7">
        <f t="shared" si="3"/>
        <v>10</v>
      </c>
      <c r="G22">
        <f t="shared" ca="1" si="4"/>
        <v>-8</v>
      </c>
      <c r="I22" s="1">
        <f t="array" aca="1" ref="I22" ca="1">$R$47+$Q$47*D22+$AE$59*G22</f>
        <v>0</v>
      </c>
      <c r="J22">
        <f t="shared" ca="1" si="5"/>
        <v>6</v>
      </c>
    </row>
    <row r="23" spans="1:10" x14ac:dyDescent="0.3">
      <c r="A23" s="2">
        <v>18</v>
      </c>
      <c r="B23" s="10">
        <v>15</v>
      </c>
      <c r="C23">
        <f t="shared" si="0"/>
        <v>-9</v>
      </c>
      <c r="D23">
        <f t="shared" si="1"/>
        <v>10</v>
      </c>
      <c r="E23">
        <f t="shared" si="2"/>
        <v>0</v>
      </c>
      <c r="F23" s="7">
        <f t="shared" si="3"/>
        <v>-9</v>
      </c>
      <c r="G23">
        <f t="shared" ca="1" si="4"/>
        <v>10</v>
      </c>
      <c r="I23" s="1">
        <f t="array" aca="1" ref="I23" ca="1">$R$47+$Q$47*D23+$AE$59*G23</f>
        <v>0</v>
      </c>
      <c r="J23">
        <f t="shared" ca="1" si="5"/>
        <v>15</v>
      </c>
    </row>
    <row r="24" spans="1:10" x14ac:dyDescent="0.3">
      <c r="A24" s="2">
        <v>19</v>
      </c>
      <c r="B24" s="10">
        <v>4</v>
      </c>
      <c r="C24">
        <f t="shared" si="0"/>
        <v>11</v>
      </c>
      <c r="D24">
        <f t="shared" si="1"/>
        <v>-9</v>
      </c>
      <c r="E24">
        <f t="shared" si="2"/>
        <v>0</v>
      </c>
      <c r="F24" s="7">
        <f t="shared" si="3"/>
        <v>11</v>
      </c>
      <c r="G24">
        <f t="shared" ca="1" si="4"/>
        <v>-9</v>
      </c>
      <c r="I24" s="1">
        <f t="array" aca="1" ref="I24" ca="1">$R$47+$Q$47*D24+$AE$59*G24</f>
        <v>0</v>
      </c>
      <c r="J24">
        <f t="shared" ca="1" si="5"/>
        <v>4</v>
      </c>
    </row>
    <row r="25" spans="1:10" x14ac:dyDescent="0.3">
      <c r="A25" s="2">
        <v>20</v>
      </c>
      <c r="B25" s="10">
        <v>19</v>
      </c>
      <c r="C25">
        <f t="shared" si="0"/>
        <v>-15</v>
      </c>
      <c r="D25">
        <f t="shared" si="1"/>
        <v>11</v>
      </c>
      <c r="E25">
        <f t="shared" si="2"/>
        <v>0</v>
      </c>
      <c r="F25" s="7">
        <f t="shared" si="3"/>
        <v>-15</v>
      </c>
      <c r="G25">
        <f t="shared" ca="1" si="4"/>
        <v>11</v>
      </c>
      <c r="I25" s="1">
        <f t="array" aca="1" ref="I25" ca="1">$R$47+$Q$47*D25+$AE$59*G25</f>
        <v>0</v>
      </c>
      <c r="J25">
        <f t="shared" si="5"/>
        <v>19</v>
      </c>
    </row>
    <row r="26" spans="1:10" x14ac:dyDescent="0.3">
      <c r="A26" s="2"/>
      <c r="I26" s="1"/>
    </row>
    <row r="27" spans="1:10" x14ac:dyDescent="0.3">
      <c r="A27" s="2"/>
      <c r="I27" s="1"/>
    </row>
    <row r="28" spans="1:10" x14ac:dyDescent="0.3">
      <c r="A28" s="2"/>
      <c r="I28" s="1"/>
    </row>
    <row r="29" spans="1:10" x14ac:dyDescent="0.3">
      <c r="A29" s="2"/>
      <c r="I29" s="1"/>
    </row>
    <row r="30" spans="1:10" x14ac:dyDescent="0.3">
      <c r="A30" s="2"/>
      <c r="I30" s="1"/>
    </row>
    <row r="31" spans="1:10" x14ac:dyDescent="0.3">
      <c r="A31" s="2"/>
      <c r="I31" s="1"/>
    </row>
    <row r="32" spans="1:10" x14ac:dyDescent="0.3">
      <c r="A32" s="2"/>
      <c r="I32" s="1"/>
    </row>
    <row r="33" spans="1:9" x14ac:dyDescent="0.3">
      <c r="A33" s="2"/>
      <c r="I33" s="1"/>
    </row>
    <row r="34" spans="1:9" x14ac:dyDescent="0.3">
      <c r="A34" s="2"/>
      <c r="I34" s="1"/>
    </row>
    <row r="35" spans="1:9" x14ac:dyDescent="0.3">
      <c r="A35" s="2"/>
      <c r="I35" s="1"/>
    </row>
    <row r="36" spans="1:9" x14ac:dyDescent="0.3">
      <c r="A36" s="2"/>
      <c r="I36" s="1"/>
    </row>
    <row r="37" spans="1:9" x14ac:dyDescent="0.3">
      <c r="A37" s="2"/>
      <c r="I37" s="1"/>
    </row>
    <row r="38" spans="1:9" x14ac:dyDescent="0.3">
      <c r="A38" s="5"/>
      <c r="B38" s="3"/>
      <c r="C38" s="3"/>
      <c r="D38" s="3"/>
      <c r="E38" s="3"/>
      <c r="F38" s="3"/>
      <c r="G38" s="3"/>
      <c r="H38" s="3"/>
      <c r="I38" s="4"/>
    </row>
  </sheetData>
  <mergeCells count="2">
    <mergeCell ref="A1:I2"/>
    <mergeCell ref="A3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0EFEF-8BAE-4EC3-A68A-60B87AFA051D}">
  <sheetPr codeName="Sheet9"/>
  <dimension ref="A1:AB79"/>
  <sheetViews>
    <sheetView tabSelected="1" zoomScale="40" zoomScaleNormal="40" workbookViewId="0">
      <selection activeCell="AB39" sqref="AA39:AB39"/>
    </sheetView>
  </sheetViews>
  <sheetFormatPr defaultRowHeight="16.5" x14ac:dyDescent="0.3"/>
  <cols>
    <col min="1" max="1" width="10.625" customWidth="1"/>
    <col min="2" max="2" width="13.5" bestFit="1" customWidth="1"/>
    <col min="6" max="6" width="10" customWidth="1"/>
    <col min="7" max="7" width="10.875" customWidth="1"/>
    <col min="10" max="12" width="9" customWidth="1"/>
    <col min="25" max="28" width="16.375" customWidth="1"/>
  </cols>
  <sheetData>
    <row r="1" spans="1:28" ht="17.25" thickBot="1" x14ac:dyDescent="0.35">
      <c r="A1" s="32" t="s">
        <v>5</v>
      </c>
      <c r="B1" s="33"/>
      <c r="C1" s="33"/>
      <c r="D1" s="33"/>
      <c r="E1" s="33"/>
      <c r="F1" s="33"/>
      <c r="G1" s="34"/>
      <c r="J1" s="32" t="s">
        <v>3</v>
      </c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4"/>
    </row>
    <row r="2" spans="1:28" x14ac:dyDescent="0.3">
      <c r="A2" s="35"/>
      <c r="B2" s="36"/>
      <c r="C2" s="36"/>
      <c r="D2" s="36"/>
      <c r="E2" s="36"/>
      <c r="F2" s="36"/>
      <c r="G2" s="37"/>
      <c r="J2" s="35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7"/>
      <c r="Y2" s="56" t="s">
        <v>33</v>
      </c>
      <c r="Z2" s="57"/>
      <c r="AA2" s="57"/>
      <c r="AB2" s="58"/>
    </row>
    <row r="3" spans="1:28" x14ac:dyDescent="0.3">
      <c r="A3" s="29" t="s">
        <v>29</v>
      </c>
      <c r="B3" s="30"/>
      <c r="C3" s="30"/>
      <c r="D3" s="30"/>
      <c r="E3" s="30"/>
      <c r="F3" s="30"/>
      <c r="G3" s="31"/>
      <c r="J3" s="29" t="s">
        <v>4</v>
      </c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1"/>
      <c r="Y3" s="59"/>
      <c r="Z3" s="60"/>
      <c r="AA3" s="60"/>
      <c r="AB3" s="61"/>
    </row>
    <row r="4" spans="1:28" ht="17.25" x14ac:dyDescent="0.3">
      <c r="A4" s="29"/>
      <c r="B4" s="30"/>
      <c r="C4" s="30"/>
      <c r="D4" s="30"/>
      <c r="E4" s="30"/>
      <c r="F4" s="30"/>
      <c r="G4" s="31"/>
      <c r="J4" s="29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1"/>
      <c r="Y4" s="74" t="s">
        <v>37</v>
      </c>
      <c r="Z4" s="75"/>
      <c r="AA4" s="75"/>
      <c r="AB4" s="76"/>
    </row>
    <row r="5" spans="1:28" x14ac:dyDescent="0.3">
      <c r="A5" s="21" t="s">
        <v>15</v>
      </c>
      <c r="B5" s="22" t="s">
        <v>2</v>
      </c>
      <c r="C5" s="22" t="s">
        <v>8</v>
      </c>
      <c r="D5" s="22" t="s">
        <v>0</v>
      </c>
      <c r="E5" s="22"/>
      <c r="F5" s="19" t="s">
        <v>21</v>
      </c>
      <c r="G5" s="20" t="s">
        <v>1</v>
      </c>
      <c r="J5" s="17" t="s">
        <v>15</v>
      </c>
      <c r="K5" s="6" t="s">
        <v>2</v>
      </c>
      <c r="L5" s="6" t="s">
        <v>8</v>
      </c>
      <c r="M5" s="6" t="s">
        <v>9</v>
      </c>
      <c r="N5" s="6" t="s">
        <v>10</v>
      </c>
      <c r="O5" s="6" t="s">
        <v>11</v>
      </c>
      <c r="P5" s="6" t="s">
        <v>0</v>
      </c>
      <c r="R5" s="18" t="s">
        <v>18</v>
      </c>
      <c r="S5" s="18" t="s">
        <v>19</v>
      </c>
      <c r="T5" s="18" t="s">
        <v>20</v>
      </c>
      <c r="U5" s="19" t="s">
        <v>21</v>
      </c>
      <c r="V5" s="20" t="s">
        <v>1</v>
      </c>
      <c r="Y5" s="38" t="s">
        <v>32</v>
      </c>
      <c r="Z5" s="39"/>
      <c r="AA5" s="39"/>
      <c r="AB5" s="40"/>
    </row>
    <row r="6" spans="1:28" x14ac:dyDescent="0.3">
      <c r="A6" s="2">
        <v>1</v>
      </c>
      <c r="B6" s="9">
        <v>2.0866144299507141</v>
      </c>
      <c r="F6" s="14">
        <f t="array" ref="F6:G6">LINEST(B7:B15,C7:C15,TRUE,TRUE)</f>
        <v>0.99076095575293177</v>
      </c>
      <c r="G6" s="15">
        <v>2.6403938216264393</v>
      </c>
      <c r="J6" s="2">
        <v>1</v>
      </c>
      <c r="K6" s="9">
        <v>3.113100263476372</v>
      </c>
      <c r="R6" s="11">
        <f t="array" ref="R6:V6">LINEST(K10:K15, L10:O15, TRUE, TRUE)</f>
        <v>-0.84442961431503072</v>
      </c>
      <c r="S6" s="11">
        <v>2.2653335349386126</v>
      </c>
      <c r="T6" s="11">
        <v>-0.38522137331343104</v>
      </c>
      <c r="U6" s="11">
        <v>-7.5077549524950171E-3</v>
      </c>
      <c r="V6" s="12">
        <v>-3.2843773477145595</v>
      </c>
      <c r="Y6" s="41"/>
      <c r="Z6" s="42"/>
      <c r="AA6" s="42"/>
      <c r="AB6" s="43"/>
    </row>
    <row r="7" spans="1:28" x14ac:dyDescent="0.3">
      <c r="A7" s="2">
        <v>2</v>
      </c>
      <c r="B7" s="14">
        <v>2.8339632184881913</v>
      </c>
      <c r="C7" s="14">
        <f>B6</f>
        <v>2.0866144299507141</v>
      </c>
      <c r="E7" s="30" t="s">
        <v>17</v>
      </c>
      <c r="F7" s="30"/>
      <c r="G7" s="31"/>
      <c r="J7" s="2">
        <v>2</v>
      </c>
      <c r="K7" s="9">
        <v>2.4406396061182023</v>
      </c>
      <c r="L7">
        <v>3.7128489345312099</v>
      </c>
      <c r="S7" s="30" t="s">
        <v>38</v>
      </c>
      <c r="T7" s="30"/>
      <c r="U7" s="30"/>
      <c r="V7" s="31"/>
      <c r="Y7" s="41"/>
      <c r="Z7" s="42"/>
      <c r="AA7" s="42"/>
      <c r="AB7" s="43"/>
    </row>
    <row r="8" spans="1:28" x14ac:dyDescent="0.3">
      <c r="A8" s="2">
        <v>3</v>
      </c>
      <c r="B8" s="14">
        <v>8.3732214632787212</v>
      </c>
      <c r="C8" s="14">
        <f t="shared" ref="C8:C25" si="0">B7</f>
        <v>2.8339632184881913</v>
      </c>
      <c r="E8" s="30"/>
      <c r="F8" s="30"/>
      <c r="G8" s="31"/>
      <c r="J8" s="2">
        <v>3</v>
      </c>
      <c r="K8" s="9">
        <v>6.7853090673685079</v>
      </c>
      <c r="L8">
        <v>7.1890259116888044</v>
      </c>
      <c r="M8">
        <v>10.968299558758737</v>
      </c>
      <c r="N8">
        <v>8.7589542120695114</v>
      </c>
      <c r="S8" s="30"/>
      <c r="T8" s="30"/>
      <c r="U8" s="30"/>
      <c r="V8" s="31"/>
      <c r="Y8" s="41"/>
      <c r="Z8" s="42"/>
      <c r="AA8" s="42"/>
      <c r="AB8" s="43"/>
    </row>
    <row r="9" spans="1:28" x14ac:dyDescent="0.3">
      <c r="A9" s="2">
        <v>4</v>
      </c>
      <c r="B9" s="14">
        <v>9.3621907924350936</v>
      </c>
      <c r="C9" s="14">
        <f t="shared" si="0"/>
        <v>8.3732214632787212</v>
      </c>
      <c r="G9" s="1"/>
      <c r="J9" s="2">
        <v>4</v>
      </c>
      <c r="K9" s="9">
        <v>8.7761024028062824</v>
      </c>
      <c r="L9">
        <v>8.5141100853681557</v>
      </c>
      <c r="M9">
        <v>12.817256250977517</v>
      </c>
      <c r="N9">
        <v>10.06976293027401</v>
      </c>
      <c r="O9">
        <v>8.228743389248848</v>
      </c>
      <c r="V9" s="1"/>
      <c r="Y9" s="41"/>
      <c r="Z9" s="42"/>
      <c r="AA9" s="42"/>
      <c r="AB9" s="43"/>
    </row>
    <row r="10" spans="1:28" ht="16.5" customHeight="1" x14ac:dyDescent="0.3">
      <c r="A10" s="2">
        <v>5</v>
      </c>
      <c r="B10" s="14">
        <v>10.775708509118934</v>
      </c>
      <c r="C10" s="14">
        <f t="shared" si="0"/>
        <v>9.3621907924350936</v>
      </c>
      <c r="G10" s="1"/>
      <c r="J10" s="2">
        <v>5</v>
      </c>
      <c r="K10" s="16">
        <v>2.4841081619262693</v>
      </c>
      <c r="L10" s="14">
        <v>4.3330499887466427</v>
      </c>
      <c r="M10" s="14">
        <v>7.0486855030059807</v>
      </c>
      <c r="N10" s="14">
        <v>5.0418194532394409</v>
      </c>
      <c r="O10" s="14">
        <v>3.4263205528259277</v>
      </c>
      <c r="V10" s="1"/>
      <c r="Y10" s="41"/>
      <c r="Z10" s="42"/>
      <c r="AA10" s="42"/>
      <c r="AB10" s="43"/>
    </row>
    <row r="11" spans="1:28" ht="16.5" customHeight="1" x14ac:dyDescent="0.3">
      <c r="A11" s="2">
        <v>6</v>
      </c>
      <c r="B11" s="14">
        <v>11.844536141345376</v>
      </c>
      <c r="C11" s="14">
        <f t="shared" si="0"/>
        <v>10.775708509118934</v>
      </c>
      <c r="G11" s="1"/>
      <c r="J11" s="2">
        <v>6</v>
      </c>
      <c r="K11" s="16">
        <v>3.4011022388935088</v>
      </c>
      <c r="L11" s="14">
        <v>4.2279524028301232</v>
      </c>
      <c r="M11" s="14">
        <v>7.132653766870499</v>
      </c>
      <c r="N11" s="14">
        <v>5.6863695085048676</v>
      </c>
      <c r="O11" s="14">
        <v>3.93380406498909</v>
      </c>
      <c r="V11" s="1"/>
      <c r="Y11" s="44"/>
      <c r="Z11" s="45"/>
      <c r="AA11" s="45"/>
      <c r="AB11" s="46"/>
    </row>
    <row r="12" spans="1:28" ht="16.5" customHeight="1" x14ac:dyDescent="0.3">
      <c r="A12" s="2">
        <v>7</v>
      </c>
      <c r="B12" s="14">
        <v>17.410568792569009</v>
      </c>
      <c r="C12" s="14">
        <f t="shared" si="0"/>
        <v>11.844536141345376</v>
      </c>
      <c r="G12" s="1"/>
      <c r="J12" s="2">
        <v>7</v>
      </c>
      <c r="K12" s="16">
        <v>2.5765457659959794</v>
      </c>
      <c r="L12" s="14">
        <v>3.4193408221006396</v>
      </c>
      <c r="M12" s="14">
        <v>6.3596517950296398</v>
      </c>
      <c r="N12" s="14">
        <v>4.7782903760671616</v>
      </c>
      <c r="O12" s="14">
        <v>3.0158613473176956</v>
      </c>
      <c r="V12" s="1"/>
      <c r="Y12" s="77" t="s">
        <v>34</v>
      </c>
      <c r="Z12" s="78"/>
      <c r="AA12" s="78"/>
      <c r="AB12" s="79"/>
    </row>
    <row r="13" spans="1:28" ht="16.5" customHeight="1" x14ac:dyDescent="0.3">
      <c r="A13" s="2">
        <v>8</v>
      </c>
      <c r="B13" s="14">
        <v>20.345582089926069</v>
      </c>
      <c r="C13" s="14">
        <f t="shared" si="0"/>
        <v>17.410568792569009</v>
      </c>
      <c r="G13" s="1"/>
      <c r="J13" s="2">
        <v>8</v>
      </c>
      <c r="K13" s="16">
        <v>7.8508010059595108</v>
      </c>
      <c r="L13" s="14">
        <v>8.4370796531438828</v>
      </c>
      <c r="M13" s="14">
        <v>12.358816340565681</v>
      </c>
      <c r="N13" s="14">
        <v>9.7714962214231491</v>
      </c>
      <c r="O13" s="14">
        <v>7.3200606256723404</v>
      </c>
      <c r="V13" s="1"/>
      <c r="Y13" s="62"/>
      <c r="Z13" s="63"/>
      <c r="AA13" s="63"/>
      <c r="AB13" s="64"/>
    </row>
    <row r="14" spans="1:28" ht="16.5" customHeight="1" x14ac:dyDescent="0.3">
      <c r="A14" s="2">
        <v>9</v>
      </c>
      <c r="B14" s="14">
        <v>19.841866339507856</v>
      </c>
      <c r="C14" s="14">
        <f t="shared" si="0"/>
        <v>20.345582089926069</v>
      </c>
      <c r="G14" s="1"/>
      <c r="J14" s="2">
        <v>9</v>
      </c>
      <c r="K14" s="16">
        <v>9.3111840724945072</v>
      </c>
      <c r="L14" s="14">
        <v>9.2797790288925182</v>
      </c>
      <c r="M14" s="14">
        <v>13.825024032592774</v>
      </c>
      <c r="N14" s="14">
        <v>11.315426468849182</v>
      </c>
      <c r="O14" s="14">
        <v>9.0574209690093994</v>
      </c>
      <c r="V14" s="1"/>
      <c r="Y14" s="65"/>
      <c r="Z14" s="66"/>
      <c r="AA14" s="66"/>
      <c r="AB14" s="67"/>
    </row>
    <row r="15" spans="1:28" ht="16.5" customHeight="1" x14ac:dyDescent="0.3">
      <c r="A15" s="2">
        <v>10</v>
      </c>
      <c r="B15" s="14">
        <v>24.899699060540449</v>
      </c>
      <c r="C15" s="14">
        <f t="shared" si="0"/>
        <v>19.841866339507856</v>
      </c>
      <c r="G15" s="1"/>
      <c r="J15" s="2">
        <v>10</v>
      </c>
      <c r="K15" s="16">
        <v>3.2274543374776843</v>
      </c>
      <c r="L15" s="14">
        <v>4.1498985677957538</v>
      </c>
      <c r="M15" s="14">
        <v>6.5298275679349906</v>
      </c>
      <c r="N15" s="14">
        <v>5.4486336261034012</v>
      </c>
      <c r="O15" s="14">
        <v>3.9333114475011826</v>
      </c>
      <c r="V15" s="1"/>
      <c r="Y15" s="68"/>
      <c r="Z15" s="69"/>
      <c r="AA15" s="69"/>
      <c r="AB15" s="70"/>
    </row>
    <row r="16" spans="1:28" ht="16.5" customHeight="1" x14ac:dyDescent="0.3">
      <c r="A16" s="2">
        <v>11</v>
      </c>
      <c r="B16" s="10">
        <v>28.786802382845629</v>
      </c>
      <c r="C16">
        <f t="shared" si="0"/>
        <v>24.899699060540449</v>
      </c>
      <c r="D16" s="7">
        <f t="shared" ref="D16:D25" si="1">$G$6+$F$6*C16</f>
        <v>27.310043460807872</v>
      </c>
      <c r="E16" s="8"/>
      <c r="G16" s="1"/>
      <c r="J16" s="2">
        <v>11</v>
      </c>
      <c r="K16" s="10">
        <v>3.0617814779281614</v>
      </c>
      <c r="L16">
        <v>4.117168045043945</v>
      </c>
      <c r="M16">
        <v>6.2087658166885369</v>
      </c>
      <c r="N16">
        <v>4.9720499515533447</v>
      </c>
      <c r="O16">
        <v>3.8876494169235229</v>
      </c>
      <c r="P16" s="7">
        <f t="shared" ref="P16:P25" si="2">$V$6+$U$6*L16+$T$6*M16+$S$6*N16+$R$6*O16</f>
        <v>2.2734678639376735</v>
      </c>
      <c r="Q16" s="8"/>
      <c r="V16" s="1"/>
      <c r="Y16" s="71" t="s">
        <v>31</v>
      </c>
      <c r="Z16" s="72"/>
      <c r="AA16" s="72"/>
      <c r="AB16" s="73"/>
    </row>
    <row r="17" spans="1:28" x14ac:dyDescent="0.3">
      <c r="A17" s="2">
        <v>12</v>
      </c>
      <c r="B17" s="10">
        <v>30.894345854458056</v>
      </c>
      <c r="C17">
        <f t="shared" si="0"/>
        <v>28.786802382845629</v>
      </c>
      <c r="D17" s="7">
        <f t="shared" si="1"/>
        <v>31.161233663525348</v>
      </c>
      <c r="G17" s="1"/>
      <c r="J17" s="2">
        <v>12</v>
      </c>
      <c r="K17" s="10">
        <v>2.9670593649148942</v>
      </c>
      <c r="L17">
        <v>3.3845733731985095</v>
      </c>
      <c r="M17">
        <v>6.5502800256013867</v>
      </c>
      <c r="N17">
        <v>5.0393574684858322</v>
      </c>
      <c r="O17">
        <v>2.926571860909462</v>
      </c>
      <c r="P17" s="7">
        <f t="shared" si="2"/>
        <v>3.1114457578623349</v>
      </c>
      <c r="R17" s="8"/>
      <c r="V17" s="1"/>
      <c r="Y17" s="80" t="s">
        <v>35</v>
      </c>
      <c r="Z17" s="81"/>
      <c r="AA17" s="81"/>
      <c r="AB17" s="82"/>
    </row>
    <row r="18" spans="1:28" x14ac:dyDescent="0.3">
      <c r="A18" s="2">
        <v>13</v>
      </c>
      <c r="B18" s="10">
        <v>30.46581301877373</v>
      </c>
      <c r="C18">
        <f t="shared" si="0"/>
        <v>30.894345854458056</v>
      </c>
      <c r="D18" s="7">
        <f t="shared" si="1"/>
        <v>33.249305447750928</v>
      </c>
      <c r="G18" s="1"/>
      <c r="J18" s="2">
        <v>13</v>
      </c>
      <c r="K18" s="10">
        <v>7.856599068641664</v>
      </c>
      <c r="L18">
        <v>8.0466707229614265</v>
      </c>
      <c r="M18">
        <v>12.444653487205505</v>
      </c>
      <c r="N18">
        <v>9.9490077495574951</v>
      </c>
      <c r="O18">
        <v>7.4274932146072388</v>
      </c>
      <c r="P18" s="7">
        <f t="shared" si="2"/>
        <v>8.127089377461381</v>
      </c>
      <c r="V18" s="1"/>
      <c r="Y18" s="47" t="s">
        <v>36</v>
      </c>
      <c r="Z18" s="48"/>
      <c r="AA18" s="48"/>
      <c r="AB18" s="49"/>
    </row>
    <row r="19" spans="1:28" x14ac:dyDescent="0.3">
      <c r="A19" s="2">
        <v>14</v>
      </c>
      <c r="B19" s="10">
        <v>32.519776683104666</v>
      </c>
      <c r="C19">
        <f t="shared" si="0"/>
        <v>30.46581301877373</v>
      </c>
      <c r="D19" s="7">
        <f t="shared" si="1"/>
        <v>32.824731845896807</v>
      </c>
      <c r="G19" s="1"/>
      <c r="J19" s="2">
        <v>14</v>
      </c>
      <c r="K19" s="10">
        <v>9.5920686930418011</v>
      </c>
      <c r="L19">
        <v>9.1579760342836369</v>
      </c>
      <c r="M19">
        <v>13.491767963767051</v>
      </c>
      <c r="N19">
        <v>10.139276161789894</v>
      </c>
      <c r="O19">
        <v>7.8947301357984543</v>
      </c>
      <c r="P19" s="7">
        <f t="shared" si="2"/>
        <v>7.7518478145434884</v>
      </c>
      <c r="V19" s="1"/>
      <c r="Y19" s="50"/>
      <c r="Z19" s="51"/>
      <c r="AA19" s="51"/>
      <c r="AB19" s="52"/>
    </row>
    <row r="20" spans="1:28" x14ac:dyDescent="0.3">
      <c r="A20" s="2">
        <v>15</v>
      </c>
      <c r="B20" s="10">
        <v>38.753448113014827</v>
      </c>
      <c r="C20">
        <f t="shared" si="0"/>
        <v>32.519776683104666</v>
      </c>
      <c r="D20" s="7">
        <f t="shared" si="1"/>
        <v>34.859718849051127</v>
      </c>
      <c r="G20" s="1"/>
      <c r="J20" s="2">
        <v>15</v>
      </c>
      <c r="K20" s="10">
        <v>2.9990778893232348</v>
      </c>
      <c r="L20">
        <v>3.7258877545595173</v>
      </c>
      <c r="M20">
        <v>7.0645670026540763</v>
      </c>
      <c r="N20">
        <v>5.1923636347055435</v>
      </c>
      <c r="O20">
        <v>3.9076651781797409</v>
      </c>
      <c r="P20" s="7">
        <f t="shared" si="2"/>
        <v>2.4289146654281706</v>
      </c>
      <c r="V20" s="1"/>
      <c r="Y20" s="53"/>
      <c r="Z20" s="54"/>
      <c r="AA20" s="54"/>
      <c r="AB20" s="55"/>
    </row>
    <row r="21" spans="1:28" x14ac:dyDescent="0.3">
      <c r="A21" s="2">
        <v>16</v>
      </c>
      <c r="B21" s="10">
        <v>38.816404449312309</v>
      </c>
      <c r="C21">
        <f t="shared" si="0"/>
        <v>38.753448113014827</v>
      </c>
      <c r="D21" s="7">
        <f t="shared" si="1"/>
        <v>41.035797112798662</v>
      </c>
      <c r="G21" s="1"/>
      <c r="J21" s="2">
        <v>16</v>
      </c>
      <c r="K21" s="10">
        <v>3.2349503576755523</v>
      </c>
      <c r="L21">
        <v>4.4838233411312096</v>
      </c>
      <c r="M21">
        <v>6.7711264431476597</v>
      </c>
      <c r="N21">
        <v>5.6906668841838837</v>
      </c>
      <c r="O21">
        <v>4.1032501757144928</v>
      </c>
      <c r="P21" s="7">
        <f t="shared" si="2"/>
        <v>3.4999291436714262</v>
      </c>
      <c r="V21" s="1"/>
    </row>
    <row r="22" spans="1:28" x14ac:dyDescent="0.3">
      <c r="A22" s="2">
        <v>17</v>
      </c>
      <c r="B22" s="10">
        <v>44.53628145707281</v>
      </c>
      <c r="C22">
        <f t="shared" si="0"/>
        <v>38.816404449312309</v>
      </c>
      <c r="D22" s="7">
        <f t="shared" si="1"/>
        <v>41.098171792719455</v>
      </c>
      <c r="G22" s="1"/>
      <c r="J22" s="2">
        <v>17</v>
      </c>
      <c r="K22" s="10">
        <v>3.3491761833429337</v>
      </c>
      <c r="L22">
        <v>4.2933662980794907</v>
      </c>
      <c r="M22">
        <v>7.0872060805559158</v>
      </c>
      <c r="N22">
        <v>5.4103734940290451</v>
      </c>
      <c r="O22">
        <v>4.4188801199197769</v>
      </c>
      <c r="P22" s="7">
        <f t="shared" si="2"/>
        <v>2.4781131280898858</v>
      </c>
      <c r="V22" s="1"/>
    </row>
    <row r="23" spans="1:28" x14ac:dyDescent="0.3">
      <c r="A23" s="2">
        <v>18</v>
      </c>
      <c r="B23" s="10">
        <v>43.101070278569274</v>
      </c>
      <c r="C23">
        <f t="shared" si="0"/>
        <v>44.53628145707281</v>
      </c>
      <c r="D23" s="7">
        <f t="shared" si="1"/>
        <v>46.765202603717469</v>
      </c>
      <c r="G23" s="1"/>
      <c r="J23" s="2">
        <v>18</v>
      </c>
      <c r="K23" s="10">
        <v>7.1206880122423177</v>
      </c>
      <c r="L23">
        <v>7.5839975804090498</v>
      </c>
      <c r="M23">
        <v>11.105042448639871</v>
      </c>
      <c r="N23">
        <v>8.7388057559728622</v>
      </c>
      <c r="O23">
        <v>6.7739284783601761</v>
      </c>
      <c r="P23" s="7">
        <f t="shared" si="2"/>
        <v>6.4569880760630278</v>
      </c>
      <c r="V23" s="1"/>
    </row>
    <row r="24" spans="1:28" x14ac:dyDescent="0.3">
      <c r="A24" s="2">
        <v>19</v>
      </c>
      <c r="B24" s="10">
        <v>44.934102174482845</v>
      </c>
      <c r="C24">
        <f t="shared" si="0"/>
        <v>43.101070278569274</v>
      </c>
      <c r="D24" s="7">
        <f t="shared" si="1"/>
        <v>45.343251404796014</v>
      </c>
      <c r="G24" s="1"/>
      <c r="J24" s="2">
        <v>19</v>
      </c>
      <c r="K24" s="10">
        <v>11.005695471167565</v>
      </c>
      <c r="L24">
        <v>10.190615025162698</v>
      </c>
      <c r="M24">
        <v>15.447563835978508</v>
      </c>
      <c r="N24">
        <v>11.570283129811287</v>
      </c>
      <c r="O24">
        <v>9.1132410615682602</v>
      </c>
      <c r="P24" s="7">
        <f t="shared" si="2"/>
        <v>9.2034420045347787</v>
      </c>
      <c r="V24" s="1"/>
    </row>
    <row r="25" spans="1:28" x14ac:dyDescent="0.3">
      <c r="A25" s="2">
        <v>20</v>
      </c>
      <c r="B25" s="10">
        <v>47.803469300270081</v>
      </c>
      <c r="C25">
        <f t="shared" si="0"/>
        <v>44.934102174482845</v>
      </c>
      <c r="D25" s="7">
        <f t="shared" si="1"/>
        <v>47.159347837916954</v>
      </c>
      <c r="G25" s="1"/>
      <c r="J25" s="2">
        <v>20</v>
      </c>
      <c r="K25" s="10">
        <v>3.0422818571329118</v>
      </c>
      <c r="L25">
        <v>4.0600575536489494</v>
      </c>
      <c r="M25">
        <v>6.310431411862373</v>
      </c>
      <c r="N25">
        <v>4.8693140000104904</v>
      </c>
      <c r="O25">
        <v>3.3297820240259171</v>
      </c>
      <c r="P25" s="7">
        <f t="shared" si="2"/>
        <v>2.4730814264702934</v>
      </c>
      <c r="V25" s="1"/>
    </row>
    <row r="26" spans="1:28" x14ac:dyDescent="0.3">
      <c r="A26" s="2"/>
      <c r="G26" s="1"/>
      <c r="O26" s="1"/>
      <c r="V26" s="1"/>
    </row>
    <row r="27" spans="1:28" x14ac:dyDescent="0.3">
      <c r="A27" s="2"/>
      <c r="G27" s="1"/>
      <c r="J27" s="2"/>
      <c r="V27" s="1"/>
    </row>
    <row r="28" spans="1:28" x14ac:dyDescent="0.3">
      <c r="A28" s="2"/>
      <c r="G28" s="1"/>
      <c r="J28" s="2"/>
      <c r="V28" s="1"/>
    </row>
    <row r="29" spans="1:28" x14ac:dyDescent="0.3">
      <c r="A29" s="2"/>
      <c r="G29" s="1"/>
      <c r="J29" s="2"/>
      <c r="V29" s="1"/>
    </row>
    <row r="30" spans="1:28" x14ac:dyDescent="0.3">
      <c r="A30" s="2"/>
      <c r="G30" s="1"/>
      <c r="J30" s="2"/>
      <c r="V30" s="1"/>
    </row>
    <row r="31" spans="1:28" x14ac:dyDescent="0.3">
      <c r="A31" s="2"/>
      <c r="G31" s="1"/>
      <c r="J31" s="2"/>
      <c r="V31" s="1"/>
    </row>
    <row r="32" spans="1:28" x14ac:dyDescent="0.3">
      <c r="A32" s="2"/>
      <c r="G32" s="1"/>
      <c r="J32" s="2"/>
      <c r="V32" s="1"/>
    </row>
    <row r="33" spans="1:25" x14ac:dyDescent="0.3">
      <c r="A33" s="2"/>
      <c r="G33" s="1"/>
      <c r="J33" s="2"/>
      <c r="V33" s="1"/>
    </row>
    <row r="34" spans="1:25" x14ac:dyDescent="0.3">
      <c r="A34" s="2"/>
      <c r="G34" s="1"/>
      <c r="J34" s="2"/>
      <c r="V34" s="1"/>
    </row>
    <row r="35" spans="1:25" x14ac:dyDescent="0.3">
      <c r="A35" s="2"/>
      <c r="G35" s="1"/>
      <c r="J35" s="2"/>
      <c r="V35" s="1"/>
    </row>
    <row r="36" spans="1:25" x14ac:dyDescent="0.3">
      <c r="A36" s="2"/>
      <c r="G36" s="1"/>
      <c r="J36" s="2"/>
      <c r="V36" s="1"/>
    </row>
    <row r="37" spans="1:25" x14ac:dyDescent="0.3">
      <c r="A37" s="2"/>
      <c r="G37" s="1"/>
      <c r="J37" s="2"/>
      <c r="V37" s="1"/>
    </row>
    <row r="38" spans="1:25" x14ac:dyDescent="0.3">
      <c r="A38" s="5"/>
      <c r="B38" s="3"/>
      <c r="C38" s="3"/>
      <c r="D38" s="3"/>
      <c r="E38" s="3"/>
      <c r="F38" s="3"/>
      <c r="G38" s="4"/>
      <c r="J38" s="5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4"/>
    </row>
    <row r="42" spans="1:25" ht="16.5" customHeight="1" x14ac:dyDescent="0.3">
      <c r="A42" s="32" t="s">
        <v>5</v>
      </c>
      <c r="B42" s="33"/>
      <c r="C42" s="33"/>
      <c r="D42" s="33"/>
      <c r="E42" s="33"/>
      <c r="F42" s="33"/>
      <c r="G42" s="34"/>
      <c r="L42" s="32" t="s">
        <v>12</v>
      </c>
      <c r="M42" s="33"/>
      <c r="N42" s="33"/>
      <c r="O42" s="33"/>
      <c r="P42" s="33"/>
      <c r="Q42" s="33"/>
      <c r="R42" s="33"/>
      <c r="S42" s="33"/>
      <c r="T42" s="34"/>
    </row>
    <row r="43" spans="1:25" ht="16.5" customHeight="1" x14ac:dyDescent="0.3">
      <c r="A43" s="35"/>
      <c r="B43" s="36"/>
      <c r="C43" s="36"/>
      <c r="D43" s="36"/>
      <c r="E43" s="36"/>
      <c r="F43" s="36"/>
      <c r="G43" s="37"/>
      <c r="L43" s="35"/>
      <c r="M43" s="36"/>
      <c r="N43" s="36"/>
      <c r="O43" s="36"/>
      <c r="P43" s="36"/>
      <c r="Q43" s="36"/>
      <c r="R43" s="36"/>
      <c r="S43" s="36"/>
      <c r="T43" s="37"/>
    </row>
    <row r="44" spans="1:25" x14ac:dyDescent="0.3">
      <c r="A44" s="29" t="s">
        <v>26</v>
      </c>
      <c r="B44" s="30"/>
      <c r="C44" s="30"/>
      <c r="D44" s="30"/>
      <c r="E44" s="30"/>
      <c r="F44" s="30"/>
      <c r="G44" s="31"/>
      <c r="L44" s="29" t="s">
        <v>27</v>
      </c>
      <c r="M44" s="30"/>
      <c r="N44" s="30"/>
      <c r="O44" s="30"/>
      <c r="P44" s="30"/>
      <c r="Q44" s="30"/>
      <c r="R44" s="30"/>
      <c r="S44" s="30"/>
      <c r="T44" s="31"/>
    </row>
    <row r="45" spans="1:25" x14ac:dyDescent="0.3">
      <c r="A45" s="29"/>
      <c r="B45" s="30"/>
      <c r="C45" s="30"/>
      <c r="D45" s="30"/>
      <c r="E45" s="30"/>
      <c r="F45" s="30"/>
      <c r="G45" s="31"/>
      <c r="L45" s="29"/>
      <c r="M45" s="30"/>
      <c r="N45" s="30"/>
      <c r="O45" s="30"/>
      <c r="P45" s="30"/>
      <c r="Q45" s="30"/>
      <c r="R45" s="30"/>
      <c r="S45" s="30"/>
      <c r="T45" s="31"/>
    </row>
    <row r="46" spans="1:25" x14ac:dyDescent="0.3">
      <c r="A46" s="21" t="s">
        <v>15</v>
      </c>
      <c r="B46" s="22" t="s">
        <v>2</v>
      </c>
      <c r="C46" s="22" t="s">
        <v>8</v>
      </c>
      <c r="D46" s="22" t="s">
        <v>0</v>
      </c>
      <c r="E46" s="22"/>
      <c r="F46" s="19" t="s">
        <v>21</v>
      </c>
      <c r="G46" s="20" t="s">
        <v>1</v>
      </c>
      <c r="H46" s="29" t="s">
        <v>28</v>
      </c>
      <c r="I46" s="30"/>
      <c r="J46" s="30"/>
      <c r="K46" s="31"/>
      <c r="L46" s="21" t="s">
        <v>15</v>
      </c>
      <c r="M46" s="22" t="s">
        <v>2</v>
      </c>
      <c r="N46" t="s">
        <v>24</v>
      </c>
      <c r="O46" s="22" t="s">
        <v>8</v>
      </c>
      <c r="P46" s="22" t="s">
        <v>0</v>
      </c>
      <c r="Q46" s="22" t="s">
        <v>25</v>
      </c>
      <c r="S46" s="19" t="s">
        <v>21</v>
      </c>
      <c r="T46" s="20" t="s">
        <v>1</v>
      </c>
      <c r="Y46" t="s">
        <v>30</v>
      </c>
    </row>
    <row r="47" spans="1:25" x14ac:dyDescent="0.3">
      <c r="A47" s="2">
        <v>1</v>
      </c>
      <c r="B47" s="9">
        <v>0.45556873083114624</v>
      </c>
      <c r="F47" s="11">
        <f t="array" ref="F47:G47">LINEST(B48:B56,C48:C56,TRUE,TRUE)</f>
        <v>0.48421868146163655</v>
      </c>
      <c r="G47" s="12">
        <v>0.29545550879789678</v>
      </c>
      <c r="H47" s="29"/>
      <c r="I47" s="30"/>
      <c r="J47" s="30"/>
      <c r="K47" s="31"/>
      <c r="L47" s="2">
        <v>1</v>
      </c>
      <c r="M47" s="9">
        <v>0.45556873083114624</v>
      </c>
      <c r="S47" s="11">
        <f t="array" ref="S47:T47">LINEST(N49:N57,O49:O57,TRUE,TRUE)</f>
        <v>-0.28867703340662915</v>
      </c>
      <c r="T47" s="12">
        <v>0.24251223094281715</v>
      </c>
    </row>
    <row r="48" spans="1:25" x14ac:dyDescent="0.3">
      <c r="A48" s="2">
        <v>2</v>
      </c>
      <c r="B48" s="13">
        <v>1.2705428004264832</v>
      </c>
      <c r="C48" s="11">
        <f>B47</f>
        <v>0.45556873083114624</v>
      </c>
      <c r="G48" s="1"/>
      <c r="L48" s="2">
        <v>2</v>
      </c>
      <c r="M48">
        <v>1.2705428004264832</v>
      </c>
      <c r="N48">
        <f>M47-M48</f>
        <v>-0.81497406959533691</v>
      </c>
      <c r="T48" s="1"/>
    </row>
    <row r="49" spans="1:20" x14ac:dyDescent="0.3">
      <c r="A49" s="2">
        <v>3</v>
      </c>
      <c r="B49" s="13">
        <v>1.0006316304206848</v>
      </c>
      <c r="C49" s="11">
        <f t="shared" ref="C49:C66" si="3">B48</f>
        <v>1.2705428004264832</v>
      </c>
      <c r="G49" s="1"/>
      <c r="L49" s="2">
        <v>3</v>
      </c>
      <c r="M49">
        <v>1.0006316304206848</v>
      </c>
      <c r="N49" s="11">
        <f t="shared" ref="N49:N66" si="4">M48-M49</f>
        <v>0.26991117000579834</v>
      </c>
      <c r="O49" s="11">
        <f>N48</f>
        <v>-0.81497406959533691</v>
      </c>
      <c r="T49" s="1"/>
    </row>
    <row r="50" spans="1:20" x14ac:dyDescent="0.3">
      <c r="A50" s="2">
        <v>4</v>
      </c>
      <c r="B50" s="13">
        <v>1.4203127026557922</v>
      </c>
      <c r="C50" s="11">
        <f t="shared" si="3"/>
        <v>1.0006316304206848</v>
      </c>
      <c r="G50" s="1"/>
      <c r="L50" s="2">
        <v>4</v>
      </c>
      <c r="M50">
        <v>1.4203127026557922</v>
      </c>
      <c r="N50" s="11">
        <f t="shared" si="4"/>
        <v>-0.41968107223510742</v>
      </c>
      <c r="O50" s="11">
        <f t="shared" ref="O50:O66" si="5">N49</f>
        <v>0.26991117000579834</v>
      </c>
      <c r="T50" s="1"/>
    </row>
    <row r="51" spans="1:20" x14ac:dyDescent="0.3">
      <c r="A51" s="2">
        <v>5</v>
      </c>
      <c r="B51" s="13">
        <v>0.84140747785568237</v>
      </c>
      <c r="C51" s="11">
        <f t="shared" si="3"/>
        <v>1.4203127026557922</v>
      </c>
      <c r="G51" s="1"/>
      <c r="L51" s="2">
        <v>5</v>
      </c>
      <c r="M51">
        <v>0.84140747785568237</v>
      </c>
      <c r="N51" s="11">
        <f t="shared" si="4"/>
        <v>0.57890522480010986</v>
      </c>
      <c r="O51" s="11">
        <f t="shared" si="5"/>
        <v>-0.41968107223510742</v>
      </c>
      <c r="T51" s="1"/>
    </row>
    <row r="52" spans="1:20" x14ac:dyDescent="0.3">
      <c r="A52" s="2">
        <v>6</v>
      </c>
      <c r="B52" s="13">
        <v>-7.7310144901275635E-2</v>
      </c>
      <c r="C52" s="11">
        <f t="shared" si="3"/>
        <v>0.84140747785568237</v>
      </c>
      <c r="G52" s="1"/>
      <c r="L52" s="2">
        <v>6</v>
      </c>
      <c r="M52">
        <v>-7.7310144901275635E-2</v>
      </c>
      <c r="N52" s="11">
        <f t="shared" si="4"/>
        <v>0.91871762275695801</v>
      </c>
      <c r="O52" s="11">
        <f t="shared" si="5"/>
        <v>0.57890522480010986</v>
      </c>
      <c r="T52" s="1"/>
    </row>
    <row r="53" spans="1:20" x14ac:dyDescent="0.3">
      <c r="A53" s="2">
        <v>7</v>
      </c>
      <c r="B53" s="13">
        <v>0.40512329339981079</v>
      </c>
      <c r="C53" s="11">
        <f t="shared" si="3"/>
        <v>-7.7310144901275635E-2</v>
      </c>
      <c r="G53" s="1"/>
      <c r="L53" s="2">
        <v>7</v>
      </c>
      <c r="M53">
        <v>0.40512329339981079</v>
      </c>
      <c r="N53" s="11">
        <f t="shared" si="4"/>
        <v>-0.48243343830108643</v>
      </c>
      <c r="O53" s="11">
        <f t="shared" si="5"/>
        <v>0.91871762275695801</v>
      </c>
      <c r="T53" s="1"/>
    </row>
    <row r="54" spans="1:20" x14ac:dyDescent="0.3">
      <c r="A54" s="2">
        <v>8</v>
      </c>
      <c r="B54" s="13">
        <v>0.41396194696426392</v>
      </c>
      <c r="C54" s="11">
        <f t="shared" si="3"/>
        <v>0.40512329339981079</v>
      </c>
      <c r="G54" s="1"/>
      <c r="L54" s="2">
        <v>8</v>
      </c>
      <c r="M54">
        <v>0.41396194696426392</v>
      </c>
      <c r="N54" s="11">
        <f t="shared" si="4"/>
        <v>-8.838653564453125E-3</v>
      </c>
      <c r="O54" s="11">
        <f t="shared" si="5"/>
        <v>-0.48243343830108643</v>
      </c>
      <c r="T54" s="1"/>
    </row>
    <row r="55" spans="1:20" x14ac:dyDescent="0.3">
      <c r="A55" s="2">
        <v>9</v>
      </c>
      <c r="B55" s="13">
        <v>2.9009759426116943E-2</v>
      </c>
      <c r="C55" s="11">
        <f t="shared" si="3"/>
        <v>0.41396194696426392</v>
      </c>
      <c r="G55" s="1"/>
      <c r="L55" s="2">
        <v>9</v>
      </c>
      <c r="M55">
        <v>2.9009759426116943E-2</v>
      </c>
      <c r="N55" s="11">
        <f t="shared" si="4"/>
        <v>0.38495218753814697</v>
      </c>
      <c r="O55" s="11">
        <f t="shared" si="5"/>
        <v>-8.838653564453125E-3</v>
      </c>
      <c r="T55" s="1"/>
    </row>
    <row r="56" spans="1:20" x14ac:dyDescent="0.3">
      <c r="A56" s="2">
        <v>10</v>
      </c>
      <c r="B56" s="13">
        <v>0.14415568113327026</v>
      </c>
      <c r="C56" s="11">
        <f t="shared" si="3"/>
        <v>2.9009759426116943E-2</v>
      </c>
      <c r="G56" s="1"/>
      <c r="L56" s="2">
        <v>10</v>
      </c>
      <c r="M56">
        <v>0.14415568113327026</v>
      </c>
      <c r="N56" s="11">
        <f t="shared" si="4"/>
        <v>-0.11514592170715332</v>
      </c>
      <c r="O56" s="11">
        <f t="shared" si="5"/>
        <v>0.38495218753814697</v>
      </c>
      <c r="T56" s="1"/>
    </row>
    <row r="57" spans="1:20" x14ac:dyDescent="0.3">
      <c r="A57" s="2">
        <v>11</v>
      </c>
      <c r="B57" s="10">
        <v>-0.82216948270797729</v>
      </c>
      <c r="C57">
        <f t="shared" si="3"/>
        <v>0.14415568113327026</v>
      </c>
      <c r="D57" s="7">
        <f>$G$47+$F$47*C57</f>
        <v>0.36525838264145305</v>
      </c>
      <c r="E57" s="8"/>
      <c r="G57" s="1"/>
      <c r="L57" s="2">
        <v>11</v>
      </c>
      <c r="M57" s="83">
        <v>-0.82216948270797729</v>
      </c>
      <c r="N57" s="11">
        <f t="shared" si="4"/>
        <v>0.96632516384124756</v>
      </c>
      <c r="O57" s="11">
        <f t="shared" si="5"/>
        <v>-0.11514592170715332</v>
      </c>
      <c r="Q57" s="7">
        <f>M57+P58</f>
        <v>-0.85861313336902634</v>
      </c>
      <c r="R57" s="8"/>
      <c r="T57" s="1"/>
    </row>
    <row r="58" spans="1:20" x14ac:dyDescent="0.3">
      <c r="A58" s="2">
        <v>12</v>
      </c>
      <c r="B58" s="10">
        <v>-0.92555111646652222</v>
      </c>
      <c r="C58">
        <f t="shared" si="3"/>
        <v>-0.82216948270797729</v>
      </c>
      <c r="D58" s="7">
        <f t="shared" ref="D58:D66" si="6">$G$47+$F$47*C58</f>
        <v>-0.1026543140569558</v>
      </c>
      <c r="G58" s="1"/>
      <c r="L58" s="2">
        <v>12</v>
      </c>
      <c r="M58" s="10">
        <v>-0.92555111646652222</v>
      </c>
      <c r="N58">
        <f t="shared" si="4"/>
        <v>0.10338163375854492</v>
      </c>
      <c r="O58">
        <f t="shared" si="5"/>
        <v>0.96632516384124756</v>
      </c>
      <c r="P58">
        <f t="shared" ref="P58:P66" si="7">$T$47+$S$47*O58</f>
        <v>-3.6443650661049043E-2</v>
      </c>
      <c r="Q58" s="7">
        <f t="shared" ref="Q58:Q66" si="8">M58+P59</f>
        <v>-0.71288278886585243</v>
      </c>
      <c r="T58" s="1"/>
    </row>
    <row r="59" spans="1:20" x14ac:dyDescent="0.3">
      <c r="A59" s="2">
        <v>13</v>
      </c>
      <c r="B59" s="10">
        <v>-1.098354160785675</v>
      </c>
      <c r="C59">
        <f t="shared" si="3"/>
        <v>-0.92555111646652222</v>
      </c>
      <c r="D59" s="7">
        <f t="shared" si="6"/>
        <v>-0.15271363244286823</v>
      </c>
      <c r="G59" s="1"/>
      <c r="L59" s="2">
        <v>13</v>
      </c>
      <c r="M59" s="10">
        <v>-1.098354160785675</v>
      </c>
      <c r="N59">
        <f t="shared" si="4"/>
        <v>0.17280304431915283</v>
      </c>
      <c r="O59">
        <f t="shared" si="5"/>
        <v>0.10338163375854492</v>
      </c>
      <c r="P59">
        <f t="shared" si="7"/>
        <v>0.21266832760066978</v>
      </c>
      <c r="Q59" s="7">
        <f t="shared" si="8"/>
        <v>-0.90572620004054516</v>
      </c>
      <c r="T59" s="1"/>
    </row>
    <row r="60" spans="1:20" x14ac:dyDescent="0.3">
      <c r="A60" s="2">
        <v>14</v>
      </c>
      <c r="B60" s="10">
        <v>-0.74612051248550415</v>
      </c>
      <c r="C60">
        <f t="shared" si="3"/>
        <v>-1.098354160785675</v>
      </c>
      <c r="D60" s="7">
        <f t="shared" si="6"/>
        <v>-0.23638809471564509</v>
      </c>
      <c r="G60" s="1"/>
      <c r="L60" s="2">
        <v>14</v>
      </c>
      <c r="M60" s="10">
        <v>-0.74612051248550415</v>
      </c>
      <c r="N60">
        <f t="shared" si="4"/>
        <v>-0.3522336483001709</v>
      </c>
      <c r="O60">
        <f t="shared" si="5"/>
        <v>0.17280304431915283</v>
      </c>
      <c r="P60">
        <f t="shared" si="7"/>
        <v>0.19262796074512986</v>
      </c>
      <c r="Q60" s="7">
        <f t="shared" si="8"/>
        <v>-0.40192651688539971</v>
      </c>
      <c r="T60" s="1"/>
    </row>
    <row r="61" spans="1:20" x14ac:dyDescent="0.3">
      <c r="A61" s="2">
        <v>15</v>
      </c>
      <c r="B61" s="10">
        <v>-0.54431432485580444</v>
      </c>
      <c r="C61">
        <f t="shared" si="3"/>
        <v>-0.74612051248550415</v>
      </c>
      <c r="D61" s="7">
        <f t="shared" si="6"/>
        <v>-6.5829981969314555E-2</v>
      </c>
      <c r="G61" s="1"/>
      <c r="L61" s="2">
        <v>15</v>
      </c>
      <c r="M61" s="10">
        <v>-0.54431432485580444</v>
      </c>
      <c r="N61">
        <f t="shared" si="4"/>
        <v>-0.20180618762969971</v>
      </c>
      <c r="O61">
        <f t="shared" si="5"/>
        <v>-0.3522336483001709</v>
      </c>
      <c r="P61">
        <f t="shared" si="7"/>
        <v>0.34419399560010444</v>
      </c>
      <c r="Q61" s="7">
        <f t="shared" si="8"/>
        <v>-0.24354528234494399</v>
      </c>
      <c r="T61" s="1"/>
    </row>
    <row r="62" spans="1:20" x14ac:dyDescent="0.3">
      <c r="A62" s="2">
        <v>16</v>
      </c>
      <c r="B62" s="10">
        <v>-1.2902736067771912</v>
      </c>
      <c r="C62">
        <f t="shared" si="3"/>
        <v>-0.54431432485580444</v>
      </c>
      <c r="D62" s="7">
        <f t="shared" si="6"/>
        <v>3.1888344115538259E-2</v>
      </c>
      <c r="G62" s="1"/>
      <c r="L62" s="2">
        <v>16</v>
      </c>
      <c r="M62" s="10">
        <v>-1.2902736067771912</v>
      </c>
      <c r="N62">
        <f t="shared" si="4"/>
        <v>0.74595928192138672</v>
      </c>
      <c r="O62">
        <f t="shared" si="5"/>
        <v>-0.20180618762969971</v>
      </c>
      <c r="P62">
        <f t="shared" si="7"/>
        <v>0.30076904251086045</v>
      </c>
      <c r="Q62" s="7">
        <f t="shared" si="8"/>
        <v>-1.2631026883815792</v>
      </c>
      <c r="T62" s="1"/>
    </row>
    <row r="63" spans="1:20" x14ac:dyDescent="0.3">
      <c r="A63" s="2">
        <v>17</v>
      </c>
      <c r="B63" s="10">
        <v>-1.6207929253578186</v>
      </c>
      <c r="C63">
        <f t="shared" si="3"/>
        <v>-1.2902736067771912</v>
      </c>
      <c r="D63" s="7">
        <f t="shared" si="6"/>
        <v>-0.32931907580050485</v>
      </c>
      <c r="G63" s="1"/>
      <c r="L63" s="2">
        <v>17</v>
      </c>
      <c r="M63" s="10">
        <v>-1.6207929253578186</v>
      </c>
      <c r="N63">
        <f t="shared" si="4"/>
        <v>0.33051931858062744</v>
      </c>
      <c r="O63">
        <f t="shared" si="5"/>
        <v>0.74595928192138672</v>
      </c>
      <c r="P63">
        <f t="shared" si="7"/>
        <v>2.717091839561192E-2</v>
      </c>
      <c r="Q63" s="7">
        <f t="shared" si="8"/>
        <v>-1.4736940307864375</v>
      </c>
      <c r="T63" s="1"/>
    </row>
    <row r="64" spans="1:20" x14ac:dyDescent="0.3">
      <c r="A64" s="2">
        <v>18</v>
      </c>
      <c r="B64" s="10">
        <v>-2.0390627980232239</v>
      </c>
      <c r="C64">
        <f t="shared" si="3"/>
        <v>-1.6207929253578186</v>
      </c>
      <c r="D64" s="7">
        <f t="shared" si="6"/>
        <v>-0.48936270444121482</v>
      </c>
      <c r="G64" s="1"/>
      <c r="L64" s="2">
        <v>18</v>
      </c>
      <c r="M64" s="10">
        <v>-2.0390627980232239</v>
      </c>
      <c r="N64">
        <f t="shared" si="4"/>
        <v>0.41826987266540527</v>
      </c>
      <c r="O64">
        <f t="shared" si="5"/>
        <v>0.33051931858062744</v>
      </c>
      <c r="P64">
        <f t="shared" si="7"/>
        <v>0.14709889457138106</v>
      </c>
      <c r="Q64" s="7">
        <f t="shared" si="8"/>
        <v>-1.9172954730848244</v>
      </c>
      <c r="T64" s="1"/>
    </row>
    <row r="65" spans="1:20" x14ac:dyDescent="0.3">
      <c r="A65" s="2">
        <v>19</v>
      </c>
      <c r="B65" s="10">
        <v>-1.2947890162467957</v>
      </c>
      <c r="C65">
        <f t="shared" si="3"/>
        <v>-2.0390627980232239</v>
      </c>
      <c r="D65" s="7">
        <f t="shared" si="6"/>
        <v>-0.69189679067838394</v>
      </c>
      <c r="G65" s="1"/>
      <c r="L65" s="2">
        <v>19</v>
      </c>
      <c r="M65" s="10">
        <v>-1.2947890162467957</v>
      </c>
      <c r="N65">
        <f t="shared" si="4"/>
        <v>-0.74427378177642822</v>
      </c>
      <c r="O65">
        <f t="shared" si="5"/>
        <v>0.41826987266540527</v>
      </c>
      <c r="P65">
        <f t="shared" si="7"/>
        <v>0.12176732493839944</v>
      </c>
      <c r="Q65" s="7">
        <f t="shared" si="8"/>
        <v>-0.83742203793842629</v>
      </c>
      <c r="T65" s="1"/>
    </row>
    <row r="66" spans="1:20" x14ac:dyDescent="0.3">
      <c r="A66" s="2">
        <v>20</v>
      </c>
      <c r="B66" s="10">
        <v>-1.8610221743583679</v>
      </c>
      <c r="C66">
        <f t="shared" si="3"/>
        <v>-1.2947890162467957</v>
      </c>
      <c r="D66" s="7">
        <f t="shared" si="6"/>
        <v>-0.33150552142013606</v>
      </c>
      <c r="G66" s="1"/>
      <c r="L66" s="2">
        <v>20</v>
      </c>
      <c r="M66" s="10">
        <v>-1.8610221743583679</v>
      </c>
      <c r="N66">
        <f t="shared" si="4"/>
        <v>0.56623315811157227</v>
      </c>
      <c r="O66">
        <f t="shared" si="5"/>
        <v>-0.74427378177642822</v>
      </c>
      <c r="P66">
        <f t="shared" si="7"/>
        <v>0.45736697830836937</v>
      </c>
      <c r="Q66" s="7">
        <f t="shared" si="8"/>
        <v>-1.8610221743583679</v>
      </c>
      <c r="T66" s="1"/>
    </row>
    <row r="67" spans="1:20" x14ac:dyDescent="0.3">
      <c r="A67" s="2"/>
      <c r="G67" s="1"/>
      <c r="L67" s="2"/>
      <c r="T67" s="1"/>
    </row>
    <row r="68" spans="1:20" x14ac:dyDescent="0.3">
      <c r="A68" s="2"/>
      <c r="G68" s="1"/>
      <c r="L68" s="2"/>
      <c r="T68" s="1"/>
    </row>
    <row r="69" spans="1:20" x14ac:dyDescent="0.3">
      <c r="A69" s="2"/>
      <c r="G69" s="1"/>
      <c r="L69" s="2"/>
      <c r="T69" s="1"/>
    </row>
    <row r="70" spans="1:20" x14ac:dyDescent="0.3">
      <c r="A70" s="2"/>
      <c r="G70" s="1"/>
      <c r="L70" s="2"/>
      <c r="T70" s="1"/>
    </row>
    <row r="71" spans="1:20" x14ac:dyDescent="0.3">
      <c r="A71" s="2"/>
      <c r="G71" s="1"/>
      <c r="L71" s="2"/>
      <c r="T71" s="1"/>
    </row>
    <row r="72" spans="1:20" x14ac:dyDescent="0.3">
      <c r="A72" s="2"/>
      <c r="G72" s="1"/>
      <c r="L72" s="2"/>
      <c r="T72" s="1"/>
    </row>
    <row r="73" spans="1:20" x14ac:dyDescent="0.3">
      <c r="A73" s="2"/>
      <c r="G73" s="1"/>
      <c r="L73" s="2"/>
      <c r="T73" s="1"/>
    </row>
    <row r="74" spans="1:20" x14ac:dyDescent="0.3">
      <c r="A74" s="2"/>
      <c r="G74" s="1"/>
      <c r="L74" s="2"/>
      <c r="T74" s="1"/>
    </row>
    <row r="75" spans="1:20" x14ac:dyDescent="0.3">
      <c r="A75" s="2"/>
      <c r="G75" s="1"/>
      <c r="L75" s="2"/>
      <c r="T75" s="1"/>
    </row>
    <row r="76" spans="1:20" x14ac:dyDescent="0.3">
      <c r="A76" s="2"/>
      <c r="G76" s="1"/>
      <c r="L76" s="2"/>
      <c r="T76" s="1"/>
    </row>
    <row r="77" spans="1:20" x14ac:dyDescent="0.3">
      <c r="A77" s="2"/>
      <c r="G77" s="1"/>
      <c r="L77" s="2"/>
      <c r="T77" s="1"/>
    </row>
    <row r="78" spans="1:20" x14ac:dyDescent="0.3">
      <c r="A78" s="2"/>
      <c r="G78" s="1"/>
      <c r="L78" s="2"/>
      <c r="T78" s="1"/>
    </row>
    <row r="79" spans="1:20" x14ac:dyDescent="0.3">
      <c r="A79" s="5"/>
      <c r="B79" s="3"/>
      <c r="C79" s="3"/>
      <c r="D79" s="3"/>
      <c r="E79" s="3"/>
      <c r="F79" s="3"/>
      <c r="G79" s="4"/>
      <c r="L79" s="5"/>
      <c r="M79" s="3"/>
      <c r="N79" s="3"/>
      <c r="O79" s="3"/>
      <c r="P79" s="3"/>
      <c r="Q79" s="3"/>
      <c r="R79" s="3"/>
      <c r="S79" s="3"/>
      <c r="T79" s="4"/>
    </row>
  </sheetData>
  <mergeCells count="19">
    <mergeCell ref="Y5:AB11"/>
    <mergeCell ref="Y17:AB17"/>
    <mergeCell ref="Y18:AB20"/>
    <mergeCell ref="Y2:AB3"/>
    <mergeCell ref="Y12:AB12"/>
    <mergeCell ref="Y13:AB15"/>
    <mergeCell ref="Y16:AB16"/>
    <mergeCell ref="Y4:AB4"/>
    <mergeCell ref="A44:G45"/>
    <mergeCell ref="L44:T45"/>
    <mergeCell ref="S7:V8"/>
    <mergeCell ref="H46:K47"/>
    <mergeCell ref="A1:G2"/>
    <mergeCell ref="J1:V2"/>
    <mergeCell ref="A3:G4"/>
    <mergeCell ref="J3:V4"/>
    <mergeCell ref="E7:G8"/>
    <mergeCell ref="A42:G43"/>
    <mergeCell ref="L42:T4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GenerateLinearData">
                <anchor moveWithCells="1" sizeWithCells="1">
                  <from>
                    <xdr:col>4</xdr:col>
                    <xdr:colOff>638175</xdr:colOff>
                    <xdr:row>8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RandomWalk">
                <anchor moveWithCells="1" siz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666750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GeneratePatternData">
                <anchor moveWithCells="1" sizeWithCells="1">
                  <from>
                    <xdr:col>19</xdr:col>
                    <xdr:colOff>9525</xdr:colOff>
                    <xdr:row>8</xdr:row>
                    <xdr:rowOff>19050</xdr:rowOff>
                  </from>
                  <to>
                    <xdr:col>21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ARIMA계산과정</vt:lpstr>
      <vt:lpstr>MA추가예정</vt:lpstr>
      <vt:lpstr>ARIMA_test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jhpark</dc:creator>
  <cp:lastModifiedBy>YOUPC</cp:lastModifiedBy>
  <dcterms:created xsi:type="dcterms:W3CDTF">2025-02-26T04:01:33Z</dcterms:created>
  <dcterms:modified xsi:type="dcterms:W3CDTF">2025-03-04T14:30:01Z</dcterms:modified>
</cp:coreProperties>
</file>