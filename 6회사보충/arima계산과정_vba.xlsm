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jhpark\개인\git_day\6회사보충\"/>
    </mc:Choice>
  </mc:AlternateContent>
  <xr:revisionPtr revIDLastSave="0" documentId="13_ncr:1_{DC6D4E89-B17C-44FD-8846-184341F09FDE}" xr6:coauthVersionLast="36" xr6:coauthVersionMax="46" xr10:uidLastSave="{00000000-0000-0000-0000-000000000000}"/>
  <bookViews>
    <workbookView xWindow="-28920" yWindow="-120" windowWidth="29040" windowHeight="15720" activeTab="2" xr2:uid="{8DB67CA5-226A-433A-AC0A-C2258A8D7DFE}"/>
  </bookViews>
  <sheets>
    <sheet name="ARIMA계산과정" sheetId="8" r:id="rId1"/>
    <sheet name="MA추가예정" sheetId="10" r:id="rId2"/>
    <sheet name="ARIMA_test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2" l="1"/>
  <c r="Q66" i="12"/>
  <c r="N66" i="12"/>
  <c r="C66" i="12"/>
  <c r="N65" i="12"/>
  <c r="O66" i="12" s="1"/>
  <c r="C65" i="12"/>
  <c r="N64" i="12"/>
  <c r="O65" i="12" s="1"/>
  <c r="C64" i="12"/>
  <c r="N63" i="12"/>
  <c r="O64" i="12" s="1"/>
  <c r="C63" i="12"/>
  <c r="N62" i="12"/>
  <c r="O63" i="12" s="1"/>
  <c r="C62" i="12"/>
  <c r="N61" i="12"/>
  <c r="O62" i="12" s="1"/>
  <c r="C61" i="12"/>
  <c r="N60" i="12"/>
  <c r="O61" i="12" s="1"/>
  <c r="C60" i="12"/>
  <c r="N59" i="12"/>
  <c r="O60" i="12" s="1"/>
  <c r="C59" i="12"/>
  <c r="N58" i="12"/>
  <c r="O59" i="12" s="1"/>
  <c r="C58" i="12"/>
  <c r="N57" i="12"/>
  <c r="O58" i="12" s="1"/>
  <c r="C57" i="12"/>
  <c r="N56" i="12"/>
  <c r="O57" i="12" s="1"/>
  <c r="C56" i="12"/>
  <c r="N55" i="12"/>
  <c r="O56" i="12" s="1"/>
  <c r="C55" i="12"/>
  <c r="N54" i="12"/>
  <c r="O55" i="12" s="1"/>
  <c r="C54" i="12"/>
  <c r="N53" i="12"/>
  <c r="O54" i="12" s="1"/>
  <c r="C53" i="12"/>
  <c r="N52" i="12"/>
  <c r="O53" i="12" s="1"/>
  <c r="C52" i="12"/>
  <c r="N51" i="12"/>
  <c r="O52" i="12" s="1"/>
  <c r="C51" i="12"/>
  <c r="N50" i="12"/>
  <c r="O51" i="12" s="1"/>
  <c r="C50" i="12"/>
  <c r="N49" i="12"/>
  <c r="O50" i="12" s="1"/>
  <c r="C49" i="12"/>
  <c r="N48" i="12"/>
  <c r="O49" i="12" s="1"/>
  <c r="C48" i="12"/>
  <c r="C16" i="12"/>
  <c r="C15" i="12"/>
  <c r="C14" i="12"/>
  <c r="C13" i="12"/>
  <c r="C12" i="12"/>
  <c r="C11" i="12"/>
  <c r="C10" i="12"/>
  <c r="C9" i="12"/>
  <c r="C8" i="12"/>
  <c r="C7" i="12"/>
  <c r="F47" i="12" l="1" a="1"/>
  <c r="G47" i="12" s="1"/>
  <c r="R6" i="12" a="1"/>
  <c r="F6" i="12" a="1"/>
  <c r="G6" i="12" s="1"/>
  <c r="S47" i="12" a="1"/>
  <c r="J25" i="10"/>
  <c r="D25" i="10"/>
  <c r="C25" i="10"/>
  <c r="C24" i="10"/>
  <c r="D23" i="10"/>
  <c r="E23" i="10" s="1"/>
  <c r="C23" i="10"/>
  <c r="D24" i="10" s="1"/>
  <c r="D22" i="10"/>
  <c r="C22" i="10"/>
  <c r="C21" i="10"/>
  <c r="D20" i="10"/>
  <c r="E20" i="10" s="1"/>
  <c r="C20" i="10"/>
  <c r="D21" i="10" s="1"/>
  <c r="D19" i="10"/>
  <c r="C19" i="10"/>
  <c r="C18" i="10"/>
  <c r="G17" i="10"/>
  <c r="D17" i="10"/>
  <c r="E17" i="10" s="1"/>
  <c r="C17" i="10"/>
  <c r="D16" i="10"/>
  <c r="C16" i="10"/>
  <c r="C15" i="10"/>
  <c r="D14" i="10"/>
  <c r="C14" i="10"/>
  <c r="D15" i="10" s="1"/>
  <c r="D13" i="10"/>
  <c r="C13" i="10"/>
  <c r="C12" i="10"/>
  <c r="D11" i="10"/>
  <c r="C11" i="10"/>
  <c r="D12" i="10" s="1"/>
  <c r="D10" i="10"/>
  <c r="C10" i="10"/>
  <c r="C9" i="10"/>
  <c r="C8" i="10"/>
  <c r="D9" i="10" s="1"/>
  <c r="C7" i="10"/>
  <c r="D8" i="10" s="1"/>
  <c r="O66" i="8"/>
  <c r="L49" i="8"/>
  <c r="M50" i="8" s="1"/>
  <c r="L50" i="8"/>
  <c r="M51" i="8" s="1"/>
  <c r="L51" i="8"/>
  <c r="M52" i="8" s="1"/>
  <c r="L52" i="8"/>
  <c r="M53" i="8" s="1"/>
  <c r="L53" i="8"/>
  <c r="M54" i="8" s="1"/>
  <c r="L54" i="8"/>
  <c r="M55" i="8" s="1"/>
  <c r="L55" i="8"/>
  <c r="M56" i="8" s="1"/>
  <c r="L56" i="8"/>
  <c r="M57" i="8" s="1"/>
  <c r="L57" i="8"/>
  <c r="M58" i="8" s="1"/>
  <c r="L58" i="8"/>
  <c r="M59" i="8" s="1"/>
  <c r="L59" i="8"/>
  <c r="M60" i="8" s="1"/>
  <c r="L60" i="8"/>
  <c r="M61" i="8" s="1"/>
  <c r="L61" i="8"/>
  <c r="M62" i="8" s="1"/>
  <c r="L62" i="8"/>
  <c r="M63" i="8" s="1"/>
  <c r="L63" i="8"/>
  <c r="M64" i="8" s="1"/>
  <c r="L64" i="8"/>
  <c r="M65" i="8" s="1"/>
  <c r="L65" i="8"/>
  <c r="M66" i="8" s="1"/>
  <c r="L66" i="8"/>
  <c r="L48" i="8"/>
  <c r="M49" i="8" s="1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48" i="8"/>
  <c r="L16" i="8"/>
  <c r="M17" i="8" s="1"/>
  <c r="N18" i="8" s="1"/>
  <c r="O19" i="8" s="1"/>
  <c r="L17" i="8"/>
  <c r="M18" i="8" s="1"/>
  <c r="N19" i="8" s="1"/>
  <c r="O20" i="8" s="1"/>
  <c r="L18" i="8"/>
  <c r="M19" i="8" s="1"/>
  <c r="N20" i="8" s="1"/>
  <c r="O21" i="8" s="1"/>
  <c r="C21" i="8"/>
  <c r="C22" i="8"/>
  <c r="C23" i="8"/>
  <c r="C24" i="8"/>
  <c r="C25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7" i="8"/>
  <c r="F47" i="12" l="1"/>
  <c r="D57" i="12" s="1"/>
  <c r="V6" i="12"/>
  <c r="U6" i="12"/>
  <c r="T6" i="12"/>
  <c r="S6" i="12"/>
  <c r="R6" i="12"/>
  <c r="F6" i="12"/>
  <c r="T47" i="12"/>
  <c r="S47" i="12"/>
  <c r="E24" i="10"/>
  <c r="F24" i="10" s="1"/>
  <c r="G25" i="10" s="1"/>
  <c r="I25" i="10" s="1" a="1"/>
  <c r="I25" i="10" s="1"/>
  <c r="J24" i="10" s="1"/>
  <c r="F17" i="10"/>
  <c r="G18" i="10" s="1"/>
  <c r="E21" i="10"/>
  <c r="F21" i="10" s="1"/>
  <c r="G22" i="10" s="1"/>
  <c r="I22" i="10" s="1" a="1"/>
  <c r="I22" i="10" s="1"/>
  <c r="J21" i="10" s="1"/>
  <c r="H6" i="10" a="1"/>
  <c r="E22" i="10"/>
  <c r="F22" i="10" s="1"/>
  <c r="G23" i="10" s="1"/>
  <c r="I23" i="10" s="1" a="1"/>
  <c r="I23" i="10" s="1"/>
  <c r="J22" i="10" s="1"/>
  <c r="E25" i="10"/>
  <c r="F25" i="10" s="1"/>
  <c r="D18" i="10"/>
  <c r="E19" i="10"/>
  <c r="F19" i="10" s="1"/>
  <c r="G20" i="10" s="1"/>
  <c r="I20" i="10" s="1" a="1"/>
  <c r="I20" i="10" s="1"/>
  <c r="J19" i="10" s="1"/>
  <c r="F20" i="10"/>
  <c r="G21" i="10" s="1"/>
  <c r="I21" i="10" s="1" a="1"/>
  <c r="I21" i="10" s="1"/>
  <c r="J20" i="10" s="1"/>
  <c r="F23" i="10"/>
  <c r="G24" i="10" s="1"/>
  <c r="I24" i="10" s="1" a="1"/>
  <c r="I24" i="10" s="1"/>
  <c r="J23" i="10" s="1"/>
  <c r="F47" i="8" a="1"/>
  <c r="F47" i="8" s="1"/>
  <c r="Q47" i="8" a="1"/>
  <c r="Q47" i="8" s="1"/>
  <c r="F6" i="8" a="1"/>
  <c r="F6" i="8" s="1"/>
  <c r="L8" i="8"/>
  <c r="M9" i="8" s="1"/>
  <c r="N10" i="8" s="1"/>
  <c r="O11" i="8" s="1"/>
  <c r="L9" i="8"/>
  <c r="M10" i="8" s="1"/>
  <c r="N11" i="8" s="1"/>
  <c r="O12" i="8" s="1"/>
  <c r="L10" i="8"/>
  <c r="L11" i="8"/>
  <c r="M12" i="8" s="1"/>
  <c r="N13" i="8" s="1"/>
  <c r="O14" i="8" s="1"/>
  <c r="L12" i="8"/>
  <c r="M13" i="8" s="1"/>
  <c r="N14" i="8" s="1"/>
  <c r="O15" i="8" s="1"/>
  <c r="L13" i="8"/>
  <c r="M14" i="8" s="1"/>
  <c r="N15" i="8" s="1"/>
  <c r="O16" i="8" s="1"/>
  <c r="L14" i="8"/>
  <c r="M15" i="8" s="1"/>
  <c r="N16" i="8" s="1"/>
  <c r="O17" i="8" s="1"/>
  <c r="L15" i="8"/>
  <c r="M16" i="8" s="1"/>
  <c r="N17" i="8" s="1"/>
  <c r="O18" i="8" s="1"/>
  <c r="L7" i="8"/>
  <c r="M8" i="8" s="1"/>
  <c r="N9" i="8" s="1"/>
  <c r="O10" i="8" s="1"/>
  <c r="D64" i="12" l="1"/>
  <c r="D63" i="12"/>
  <c r="D62" i="12"/>
  <c r="D59" i="12"/>
  <c r="D66" i="12"/>
  <c r="D61" i="12"/>
  <c r="D65" i="12"/>
  <c r="D58" i="12"/>
  <c r="D60" i="12"/>
  <c r="P22" i="12"/>
  <c r="P16" i="12"/>
  <c r="P23" i="12"/>
  <c r="P17" i="12"/>
  <c r="P24" i="12"/>
  <c r="P18" i="12"/>
  <c r="P25" i="12"/>
  <c r="P19" i="12"/>
  <c r="P20" i="12"/>
  <c r="P21" i="12"/>
  <c r="D16" i="12"/>
  <c r="D17" i="12"/>
  <c r="P66" i="12"/>
  <c r="Q65" i="12" s="1"/>
  <c r="P65" i="12"/>
  <c r="Q64" i="12" s="1"/>
  <c r="P64" i="12"/>
  <c r="Q63" i="12" s="1"/>
  <c r="P63" i="12"/>
  <c r="Q62" i="12" s="1"/>
  <c r="P62" i="12"/>
  <c r="Q61" i="12" s="1"/>
  <c r="P61" i="12"/>
  <c r="Q60" i="12" s="1"/>
  <c r="P60" i="12"/>
  <c r="Q59" i="12" s="1"/>
  <c r="P59" i="12"/>
  <c r="Q58" i="12" s="1"/>
  <c r="P58" i="12"/>
  <c r="Q57" i="12" s="1"/>
  <c r="E18" i="10"/>
  <c r="F18" i="10" s="1"/>
  <c r="I18" i="10" a="1"/>
  <c r="I18" i="10" s="1"/>
  <c r="J17" i="10" s="1"/>
  <c r="I6" i="10"/>
  <c r="H6" i="10"/>
  <c r="G47" i="8"/>
  <c r="D57" i="8" s="1"/>
  <c r="G6" i="8"/>
  <c r="D25" i="8" s="1"/>
  <c r="R47" i="8"/>
  <c r="M11" i="8"/>
  <c r="N12" i="8" s="1"/>
  <c r="O13" i="8" s="1"/>
  <c r="C19" i="12" l="1"/>
  <c r="D19" i="12" s="1"/>
  <c r="C21" i="12" s="1"/>
  <c r="D21" i="12" s="1"/>
  <c r="C18" i="12"/>
  <c r="D18" i="12" s="1"/>
  <c r="D24" i="8"/>
  <c r="G19" i="10"/>
  <c r="I19" i="10" s="1" a="1"/>
  <c r="I19" i="10" s="1"/>
  <c r="J18" i="10" s="1"/>
  <c r="D22" i="8"/>
  <c r="D19" i="8"/>
  <c r="D18" i="8"/>
  <c r="D59" i="8"/>
  <c r="D23" i="8"/>
  <c r="D61" i="8"/>
  <c r="D20" i="8"/>
  <c r="D65" i="8"/>
  <c r="D58" i="8"/>
  <c r="D60" i="8"/>
  <c r="D64" i="8"/>
  <c r="D17" i="8"/>
  <c r="D21" i="8"/>
  <c r="D62" i="8"/>
  <c r="D16" i="8"/>
  <c r="D66" i="8"/>
  <c r="D63" i="8"/>
  <c r="N61" i="8"/>
  <c r="O60" i="8" s="1"/>
  <c r="N58" i="8"/>
  <c r="N59" i="8"/>
  <c r="O58" i="8" s="1"/>
  <c r="N62" i="8"/>
  <c r="O61" i="8" s="1"/>
  <c r="N60" i="8"/>
  <c r="O59" i="8" s="1"/>
  <c r="N63" i="8"/>
  <c r="O62" i="8" s="1"/>
  <c r="N65" i="8"/>
  <c r="O64" i="8" s="1"/>
  <c r="N66" i="8"/>
  <c r="O65" i="8" s="1"/>
  <c r="N64" i="8"/>
  <c r="O63" i="8" s="1"/>
  <c r="R6" i="8" a="1"/>
  <c r="C20" i="12" l="1"/>
  <c r="D20" i="12" s="1"/>
  <c r="C22" i="12" s="1"/>
  <c r="D22" i="12" s="1"/>
  <c r="C24" i="12" s="1"/>
  <c r="D24" i="12" s="1"/>
  <c r="C23" i="12"/>
  <c r="D23" i="12" s="1"/>
  <c r="H18" i="10" a="1"/>
  <c r="H18" i="10" s="1"/>
  <c r="U6" i="8"/>
  <c r="R6" i="8"/>
  <c r="T6" i="8"/>
  <c r="S6" i="8"/>
  <c r="V6" i="8"/>
  <c r="C25" i="12" l="1"/>
  <c r="D25" i="12" s="1"/>
  <c r="P16" i="8"/>
  <c r="P17" i="8"/>
  <c r="P18" i="8"/>
  <c r="L19" i="8" s="1"/>
  <c r="M20" i="8" s="1"/>
  <c r="N21" i="8" s="1"/>
  <c r="O22" i="8" s="1"/>
  <c r="P19" i="8" l="1"/>
  <c r="L20" i="8" l="1"/>
  <c r="M21" i="8" l="1"/>
  <c r="N22" i="8" s="1"/>
  <c r="O23" i="8" s="1"/>
  <c r="P20" i="8"/>
  <c r="L21" i="8" l="1"/>
  <c r="M22" i="8" l="1"/>
  <c r="N23" i="8" s="1"/>
  <c r="O24" i="8" s="1"/>
  <c r="P21" i="8"/>
  <c r="L22" i="8" l="1"/>
  <c r="M23" i="8" l="1"/>
  <c r="N24" i="8" s="1"/>
  <c r="O25" i="8" s="1"/>
  <c r="P22" i="8"/>
  <c r="L23" i="8" l="1"/>
  <c r="M24" i="8" l="1"/>
  <c r="N25" i="8" s="1"/>
  <c r="P23" i="8"/>
  <c r="L24" i="8" l="1"/>
  <c r="M25" i="8" l="1"/>
  <c r="P24" i="8"/>
  <c r="L25" i="8" s="1"/>
  <c r="P25" i="8" l="1"/>
</calcChain>
</file>

<file path=xl/sharedStrings.xml><?xml version="1.0" encoding="utf-8"?>
<sst xmlns="http://schemas.openxmlformats.org/spreadsheetml/2006/main" count="107" uniqueCount="39">
  <si>
    <t>예측값</t>
    <phoneticPr fontId="2" type="noConversion"/>
  </si>
  <si>
    <t>상수</t>
    <phoneticPr fontId="2" type="noConversion"/>
  </si>
  <si>
    <t>y</t>
    <phoneticPr fontId="2" type="noConversion"/>
  </si>
  <si>
    <t>ARIMA(P,D,Q = 4,0,0) Example</t>
    <phoneticPr fontId="2" type="noConversion"/>
  </si>
  <si>
    <t>4번째마다 값이 상승하는 패턴이 있는경우 4번째 이전까지의 자기회귀를 할수 있게 P를 4로 설정함</t>
    <phoneticPr fontId="2" type="noConversion"/>
  </si>
  <si>
    <t>ARIMA(P,D,Q = 1,0,0) Example</t>
    <phoneticPr fontId="2" type="noConversion"/>
  </si>
  <si>
    <t>값이 점진적으로 상승하며 직전값의 영향을 많이 받을때</t>
    <phoneticPr fontId="2" type="noConversion"/>
  </si>
  <si>
    <t>ARIMA(P,D,Q = 1,1,1) Example</t>
    <phoneticPr fontId="2" type="noConversion"/>
  </si>
  <si>
    <t>yt-1</t>
    <phoneticPr fontId="2" type="noConversion"/>
  </si>
  <si>
    <t>yt-2</t>
  </si>
  <si>
    <t>yt-3</t>
  </si>
  <si>
    <t>yt-4</t>
  </si>
  <si>
    <t>ARIMA(P,D,Q = 1,1,0) Example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</si>
  <si>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1*yt-1+</t>
    </r>
    <r>
      <rPr>
        <sz val="11"/>
        <color theme="1"/>
        <rFont val="Segoe UI"/>
        <family val="2"/>
        <charset val="161"/>
      </rPr>
      <t>ϕ2*yt-2+ϕ3*yt-3+ϕ4*yt-4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</si>
  <si>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</t>
    </r>
    <phoneticPr fontId="2" type="noConversion"/>
  </si>
  <si>
    <t>time</t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</si>
  <si>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1*yt-1   == 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 xml:space="preserve">1*10.6 </t>
    </r>
    <phoneticPr fontId="2" type="noConversion"/>
  </si>
  <si>
    <t>y,yt-1로 자기회귀계수확인</t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</si>
  <si>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4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</si>
  <si>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3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</si>
  <si>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</rPr>
      <t>2</t>
    </r>
    <phoneticPr fontId="2" type="noConversion"/>
  </si>
  <si>
    <r>
      <rPr>
        <b/>
        <sz val="11"/>
        <color theme="1"/>
        <rFont val="Segoe UI"/>
        <family val="2"/>
        <charset val="161"/>
      </rPr>
      <t>ϕ</t>
    </r>
    <r>
      <rPr>
        <b/>
        <sz val="11"/>
        <color theme="1"/>
        <rFont val="맑은 고딕"/>
        <family val="2"/>
        <charset val="129"/>
        <scheme val="minor"/>
      </rPr>
      <t>1</t>
    </r>
    <phoneticPr fontId="2" type="noConversion"/>
  </si>
  <si>
    <r>
      <t>=상수+</t>
    </r>
    <r>
      <rPr>
        <sz val="11"/>
        <color theme="1"/>
        <rFont val="Segoe UI"/>
        <family val="2"/>
        <charset val="161"/>
      </rPr>
      <t>ϕ</t>
    </r>
    <r>
      <rPr>
        <sz val="11"/>
        <color theme="1"/>
        <rFont val="맑은 고딕"/>
        <family val="2"/>
        <charset val="129"/>
        <scheme val="minor"/>
      </rPr>
      <t>1*1.3+</t>
    </r>
    <r>
      <rPr>
        <sz val="11"/>
        <color theme="1"/>
        <rFont val="Segoe UI"/>
        <family val="2"/>
        <charset val="161"/>
      </rPr>
      <t>ϕ2*4.4+ϕ3*3.5+ϕ4*1.1</t>
    </r>
    <phoneticPr fontId="2" type="noConversion"/>
  </si>
  <si>
    <t>예측값</t>
    <phoneticPr fontId="2" type="noConversion"/>
  </si>
  <si>
    <t>차분</t>
    <phoneticPr fontId="2" type="noConversion"/>
  </si>
  <si>
    <t>역차분</t>
    <phoneticPr fontId="2" type="noConversion"/>
  </si>
  <si>
    <t>데이터가 정상성이 없어 예측이 어려움</t>
    <phoneticPr fontId="2" type="noConversion"/>
  </si>
  <si>
    <t>차분을 통해 정상성 확보후 예측진행</t>
    <phoneticPr fontId="2" type="noConversion"/>
  </si>
  <si>
    <t>4번째 이전의 값에도 영향을 받음</t>
    <phoneticPr fontId="2" type="noConversion"/>
  </si>
  <si>
    <t>비정상적인 데이터의 차분 비교</t>
    <phoneticPr fontId="2" type="noConversion"/>
  </si>
  <si>
    <t>값이 선형적으로 바뀌며 직전값의 영향을 많이 받을때</t>
    <phoneticPr fontId="2" type="noConversion"/>
  </si>
  <si>
    <t>;</t>
    <phoneticPr fontId="2" type="noConversion"/>
  </si>
  <si>
    <t>학습데이터를 잘 설명하는 자기회귀계수와 상수항 구하기</t>
    <phoneticPr fontId="2" type="noConversion"/>
  </si>
  <si>
    <t>값이 선형적으로 변화하여 이전값에 영향을 많이 받는다면
p를 1로 설정하여 이전의 데이터를 사용하여
다음 데이터를 잘 예측하는 계수를 구하고
주기적으로 상승, 하락하는 데이터의 경우
해당패턴이 있는 주기수 만큼을 P로 설정하여
변화되는 패턴을 학습시킨다.</t>
    <phoneticPr fontId="2" type="noConversion"/>
  </si>
  <si>
    <t>ARIMA 파라미터 선정과정</t>
    <phoneticPr fontId="2" type="noConversion"/>
  </si>
  <si>
    <t xml:space="preserve"> 1.  값의 변화 확인
</t>
    <phoneticPr fontId="2" type="noConversion"/>
  </si>
  <si>
    <t xml:space="preserve"> 2. 회귀계수 확인</t>
    <phoneticPr fontId="2" type="noConversion"/>
  </si>
  <si>
    <t>3. 데이터의 정상성 확인하기</t>
    <phoneticPr fontId="2" type="noConversion"/>
  </si>
  <si>
    <t>만약 데이터가 비정상성을 띄고 있다면
차분을 통해 계절성과 추세를 제거한 후 예측을 진행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</si>
</sst>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Segoe UI"/>
      <family val="2"/>
      <charset val="161"/>
    </font>
    <font>
      <sz val="11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9C5700"/>
      <name val="맑은 고딕"/>
      <family val="3"/>
      <charset val="129"/>
      <scheme val="minor"/>
    </font>
    <font>
      <b/>
      <sz val="11"/>
      <color theme="1"/>
      <name val="맑은 고딕"/>
      <family val="2"/>
      <charset val="161"/>
    </font>
    <font>
      <b/>
      <sz val="11"/>
      <color theme="1"/>
      <name val="Segoe UI"/>
      <family val="2"/>
      <charset val="161"/>
    </font>
    <font>
      <b/>
      <sz val="11"/>
      <color theme="1"/>
      <name val="맑은 고딕"/>
      <family val="2"/>
      <charset val="129"/>
    </font>
    <font>
      <b/>
      <sz val="11"/>
      <color theme="1"/>
      <name val="맑은 고딕"/>
      <family val="2"/>
      <charset val="161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5" fillId="5" borderId="0" xfId="4" applyBorder="1">
      <alignment vertical="center"/>
    </xf>
    <xf numFmtId="0" fontId="0" fillId="0" borderId="0" xfId="0" quotePrefix="1" applyFill="1" applyBorder="1">
      <alignment vertical="center"/>
    </xf>
    <xf numFmtId="0" fontId="0" fillId="0" borderId="0" xfId="0" applyBorder="1" applyAlignment="1">
      <alignment vertical="center" wrapText="1"/>
    </xf>
    <xf numFmtId="0" fontId="5" fillId="4" borderId="0" xfId="3" applyBorder="1" applyAlignment="1">
      <alignment vertical="center" wrapText="1"/>
    </xf>
    <xf numFmtId="0" fontId="0" fillId="0" borderId="0" xfId="0" quotePrefix="1" applyBorder="1">
      <alignment vertical="center"/>
    </xf>
    <xf numFmtId="0" fontId="6" fillId="3" borderId="0" xfId="2" applyBorder="1">
      <alignment vertical="center"/>
    </xf>
    <xf numFmtId="0" fontId="6" fillId="3" borderId="3" xfId="2" applyBorder="1">
      <alignment vertical="center"/>
    </xf>
    <xf numFmtId="0" fontId="6" fillId="3" borderId="0" xfId="2" applyBorder="1" applyAlignment="1">
      <alignment vertical="center" wrapText="1"/>
    </xf>
    <xf numFmtId="0" fontId="8" fillId="3" borderId="0" xfId="2" applyFont="1" applyBorder="1">
      <alignment vertical="center"/>
    </xf>
    <xf numFmtId="0" fontId="8" fillId="3" borderId="3" xfId="2" applyFont="1" applyBorder="1">
      <alignment vertical="center"/>
    </xf>
    <xf numFmtId="0" fontId="8" fillId="3" borderId="0" xfId="2" applyFont="1" applyBorder="1" applyAlignment="1">
      <alignment vertical="center" wrapText="1"/>
    </xf>
    <xf numFmtId="0" fontId="3" fillId="0" borderId="2" xfId="0" applyFont="1" applyBorder="1">
      <alignment vertical="center"/>
    </xf>
    <xf numFmtId="0" fontId="9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Fill="1" applyBorder="1">
      <alignment vertical="center"/>
    </xf>
    <xf numFmtId="0" fontId="1" fillId="2" borderId="7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0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2" borderId="7" xfId="1" applyFont="1" applyBorder="1" applyAlignment="1">
      <alignment horizontal="center" vertical="center"/>
    </xf>
    <xf numFmtId="0" fontId="13" fillId="2" borderId="8" xfId="1" applyFont="1" applyBorder="1" applyAlignment="1">
      <alignment horizontal="center" vertical="center"/>
    </xf>
    <xf numFmtId="0" fontId="13" fillId="2" borderId="9" xfId="1" applyFont="1" applyBorder="1" applyAlignment="1">
      <alignment horizontal="center" vertical="center"/>
    </xf>
    <xf numFmtId="0" fontId="13" fillId="2" borderId="2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3" xfId="1" applyFont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top"/>
    </xf>
    <xf numFmtId="0" fontId="16" fillId="7" borderId="16" xfId="0" applyFont="1" applyFill="1" applyBorder="1" applyAlignment="1">
      <alignment horizontal="center" vertical="top"/>
    </xf>
    <xf numFmtId="0" fontId="16" fillId="7" borderId="17" xfId="0" applyFont="1" applyFill="1" applyBorder="1" applyAlignment="1">
      <alignment horizontal="center" vertical="top"/>
    </xf>
    <xf numFmtId="0" fontId="3" fillId="0" borderId="18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19" xfId="0" applyFont="1" applyBorder="1" applyAlignment="1">
      <alignment horizontal="center" vertical="top"/>
    </xf>
    <xf numFmtId="0" fontId="3" fillId="0" borderId="20" xfId="0" applyFont="1" applyBorder="1" applyAlignment="1">
      <alignment horizontal="center" vertical="top"/>
    </xf>
    <xf numFmtId="0" fontId="3" fillId="0" borderId="0" xfId="0" applyFont="1" applyBorder="1" applyAlignment="1">
      <alignment horizontal="center" vertical="top"/>
    </xf>
    <xf numFmtId="0" fontId="3" fillId="0" borderId="21" xfId="0" applyFont="1" applyBorder="1" applyAlignment="1">
      <alignment horizontal="center" vertical="top"/>
    </xf>
    <xf numFmtId="0" fontId="3" fillId="0" borderId="1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top" wrapText="1"/>
    </xf>
    <xf numFmtId="0" fontId="3" fillId="0" borderId="16" xfId="0" applyFont="1" applyBorder="1" applyAlignment="1">
      <alignment horizontal="center" vertical="top" wrapText="1"/>
    </xf>
    <xf numFmtId="0" fontId="3" fillId="0" borderId="17" xfId="0" applyFont="1" applyBorder="1" applyAlignment="1">
      <alignment horizontal="center" vertical="top" wrapText="1"/>
    </xf>
    <xf numFmtId="0" fontId="16" fillId="7" borderId="15" xfId="0" applyFont="1" applyFill="1" applyBorder="1" applyAlignment="1">
      <alignment horizontal="center" vertical="top" wrapText="1"/>
    </xf>
    <xf numFmtId="0" fontId="16" fillId="7" borderId="16" xfId="0" applyFont="1" applyFill="1" applyBorder="1" applyAlignment="1">
      <alignment horizontal="center" vertical="top" wrapText="1"/>
    </xf>
    <xf numFmtId="0" fontId="16" fillId="7" borderId="17" xfId="0" applyFont="1" applyFill="1" applyBorder="1" applyAlignment="1">
      <alignment horizontal="center" vertical="top" wrapText="1"/>
    </xf>
    <xf numFmtId="0" fontId="16" fillId="0" borderId="18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top" wrapText="1"/>
    </xf>
    <xf numFmtId="0" fontId="16" fillId="0" borderId="8" xfId="0" applyFont="1" applyBorder="1" applyAlignment="1">
      <alignment horizontal="center" vertical="top" wrapText="1"/>
    </xf>
    <xf numFmtId="0" fontId="16" fillId="0" borderId="19" xfId="0" applyFont="1" applyBorder="1" applyAlignment="1">
      <alignment horizontal="center" vertical="top" wrapText="1"/>
    </xf>
    <xf numFmtId="0" fontId="16" fillId="0" borderId="20" xfId="0" applyFont="1" applyBorder="1" applyAlignment="1">
      <alignment horizontal="center" vertical="top" wrapText="1"/>
    </xf>
    <xf numFmtId="0" fontId="16" fillId="0" borderId="0" xfId="0" applyFont="1" applyBorder="1" applyAlignment="1">
      <alignment horizontal="center" vertical="top" wrapText="1"/>
    </xf>
    <xf numFmtId="0" fontId="16" fillId="0" borderId="21" xfId="0" applyFont="1" applyBorder="1" applyAlignment="1">
      <alignment horizontal="center" vertical="top" wrapText="1"/>
    </xf>
    <xf numFmtId="0" fontId="16" fillId="0" borderId="13" xfId="0" applyFont="1" applyBorder="1" applyAlignment="1">
      <alignment horizontal="center" vertical="top" wrapText="1"/>
    </xf>
    <xf numFmtId="0" fontId="16" fillId="0" borderId="5" xfId="0" applyFont="1" applyBorder="1" applyAlignment="1">
      <alignment horizontal="center" vertical="top" wrapText="1"/>
    </xf>
    <xf numFmtId="0" fontId="16" fillId="0" borderId="14" xfId="0" applyFont="1" applyBorder="1" applyAlignment="1">
      <alignment horizontal="center" vertical="top" wrapText="1"/>
    </xf>
  </cellXfs>
  <cellStyles count="5">
    <cellStyle name="40% - 강조색1" xfId="3" builtinId="31"/>
    <cellStyle name="40% - 강조색2" xfId="4" builtinId="35"/>
    <cellStyle name="보통" xfId="2" builtinId="28"/>
    <cellStyle name="셀 확인" xfId="1" builtinId="2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6.2619568565809122E-2"/>
          <c:y val="0.30271596893931535"/>
          <c:w val="0.91230164058735708"/>
          <c:h val="0.607194805416987"/>
        </c:manualLayout>
      </c:layout>
      <c:lineChart>
        <c:grouping val="standard"/>
        <c:varyColors val="0"/>
        <c:ser>
          <c:idx val="0"/>
          <c:order val="0"/>
          <c:tx>
            <c:strRef>
              <c:f>ARIMA계산과정!$B$5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ARIMA계산과정!$B$16:$B$25</c:f>
              <c:numCache>
                <c:formatCode>General</c:formatCode>
                <c:ptCount val="10"/>
                <c:pt idx="0">
                  <c:v>11.3</c:v>
                </c:pt>
                <c:pt idx="1">
                  <c:v>12.5</c:v>
                </c:pt>
                <c:pt idx="2">
                  <c:v>13.2</c:v>
                </c:pt>
                <c:pt idx="3">
                  <c:v>14.5</c:v>
                </c:pt>
                <c:pt idx="4">
                  <c:v>15.1</c:v>
                </c:pt>
                <c:pt idx="5">
                  <c:v>16.5</c:v>
                </c:pt>
                <c:pt idx="6">
                  <c:v>17.399999999999999</c:v>
                </c:pt>
                <c:pt idx="7">
                  <c:v>18</c:v>
                </c:pt>
                <c:pt idx="8">
                  <c:v>19.3</c:v>
                </c:pt>
                <c:pt idx="9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5A-45EA-A75A-27A28F145D23}"/>
            </c:ext>
          </c:extLst>
        </c:ser>
        <c:ser>
          <c:idx val="1"/>
          <c:order val="1"/>
          <c:tx>
            <c:strRef>
              <c:f>ARIMA계산과정!$C$5</c:f>
              <c:strCache>
                <c:ptCount val="1"/>
                <c:pt idx="0">
                  <c:v>yt-1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ARIMA계산과정!$D$16:$D$25</c:f>
              <c:numCache>
                <c:formatCode>General</c:formatCode>
                <c:ptCount val="10"/>
                <c:pt idx="0">
                  <c:v>11.67319954085978</c:v>
                </c:pt>
                <c:pt idx="1">
                  <c:v>12.378487058910657</c:v>
                </c:pt>
                <c:pt idx="2">
                  <c:v>13.587551375569298</c:v>
                </c:pt>
                <c:pt idx="3">
                  <c:v>14.292838893620175</c:v>
                </c:pt>
                <c:pt idx="4">
                  <c:v>15.602658570000372</c:v>
                </c:pt>
                <c:pt idx="5">
                  <c:v>16.207190728329696</c:v>
                </c:pt>
                <c:pt idx="6">
                  <c:v>17.617765764431446</c:v>
                </c:pt>
                <c:pt idx="7">
                  <c:v>18.52456400192543</c:v>
                </c:pt>
                <c:pt idx="8">
                  <c:v>19.129096160254754</c:v>
                </c:pt>
                <c:pt idx="9">
                  <c:v>20.438915836634951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A-45EA-A75A-27A28F14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31023"/>
        <c:axId val="1988841231"/>
      </c:lineChart>
      <c:catAx>
        <c:axId val="194423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1231"/>
        <c:crosses val="autoZero"/>
        <c:auto val="1"/>
        <c:lblAlgn val="ctr"/>
        <c:lblOffset val="100"/>
        <c:noMultiLvlLbl val="0"/>
      </c:catAx>
      <c:valAx>
        <c:axId val="198884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31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ARIMA계산과정!$K$16:$K$25</c:f>
              <c:numCache>
                <c:formatCode>General</c:formatCode>
                <c:ptCount val="10"/>
                <c:pt idx="0">
                  <c:v>1.2</c:v>
                </c:pt>
                <c:pt idx="1">
                  <c:v>1.1000000000000001</c:v>
                </c:pt>
                <c:pt idx="2">
                  <c:v>3.6</c:v>
                </c:pt>
                <c:pt idx="3">
                  <c:v>4.0999999999999996</c:v>
                </c:pt>
                <c:pt idx="4">
                  <c:v>1.3</c:v>
                </c:pt>
                <c:pt idx="5">
                  <c:v>1.4</c:v>
                </c:pt>
                <c:pt idx="6">
                  <c:v>1.5</c:v>
                </c:pt>
                <c:pt idx="7">
                  <c:v>3.1</c:v>
                </c:pt>
                <c:pt idx="8">
                  <c:v>4.9000000000000004</c:v>
                </c:pt>
                <c:pt idx="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1-43FA-8E0D-FEBF13F6B42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ARIMA계산과정!$P$16:$P$25</c:f>
              <c:numCache>
                <c:formatCode>General</c:formatCode>
                <c:ptCount val="10"/>
                <c:pt idx="0">
                  <c:v>0.20706731201419082</c:v>
                </c:pt>
                <c:pt idx="1">
                  <c:v>0.25315496300671647</c:v>
                </c:pt>
                <c:pt idx="2">
                  <c:v>3.0379886104496965</c:v>
                </c:pt>
                <c:pt idx="3">
                  <c:v>4.2775758722861656</c:v>
                </c:pt>
                <c:pt idx="4">
                  <c:v>1.2173902468471887</c:v>
                </c:pt>
                <c:pt idx="5">
                  <c:v>0.43269505361062954</c:v>
                </c:pt>
                <c:pt idx="6">
                  <c:v>0.30925497337237084</c:v>
                </c:pt>
                <c:pt idx="7">
                  <c:v>2.7672894414715872</c:v>
                </c:pt>
                <c:pt idx="8">
                  <c:v>4.047603630205181</c:v>
                </c:pt>
                <c:pt idx="9">
                  <c:v>0.39660229656409718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E1-43FA-8E0D-FEBF13F6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279823"/>
        <c:axId val="1988834991"/>
      </c:lineChart>
      <c:catAx>
        <c:axId val="19442798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4991"/>
        <c:crosses val="autoZero"/>
        <c:auto val="1"/>
        <c:lblAlgn val="ctr"/>
        <c:lblOffset val="100"/>
        <c:noMultiLvlLbl val="0"/>
      </c:catAx>
      <c:valAx>
        <c:axId val="198883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427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ARIMA계산과정!$B$57:$B$66</c:f>
              <c:numCache>
                <c:formatCode>General</c:formatCode>
                <c:ptCount val="10"/>
                <c:pt idx="0">
                  <c:v>9</c:v>
                </c:pt>
                <c:pt idx="1">
                  <c:v>16</c:v>
                </c:pt>
                <c:pt idx="2">
                  <c:v>7</c:v>
                </c:pt>
                <c:pt idx="3">
                  <c:v>14</c:v>
                </c:pt>
                <c:pt idx="4">
                  <c:v>8</c:v>
                </c:pt>
                <c:pt idx="5">
                  <c:v>16</c:v>
                </c:pt>
                <c:pt idx="6">
                  <c:v>6</c:v>
                </c:pt>
                <c:pt idx="7">
                  <c:v>15</c:v>
                </c:pt>
                <c:pt idx="8">
                  <c:v>4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B-4129-BFF8-DEECC7B9F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ARIMA계산과정!$D$57:$D$66</c:f>
              <c:numCache>
                <c:formatCode>General</c:formatCode>
                <c:ptCount val="10"/>
                <c:pt idx="0">
                  <c:v>6.7829373650107989</c:v>
                </c:pt>
                <c:pt idx="1">
                  <c:v>6.5820734341252694</c:v>
                </c:pt>
                <c:pt idx="2">
                  <c:v>6.8164146868250537</c:v>
                </c:pt>
                <c:pt idx="3">
                  <c:v>6.5151187904967598</c:v>
                </c:pt>
                <c:pt idx="4">
                  <c:v>6.7494600431965441</c:v>
                </c:pt>
                <c:pt idx="5">
                  <c:v>6.5485961123110146</c:v>
                </c:pt>
                <c:pt idx="6">
                  <c:v>6.8164146868250537</c:v>
                </c:pt>
                <c:pt idx="7">
                  <c:v>6.481641468682505</c:v>
                </c:pt>
                <c:pt idx="8">
                  <c:v>6.7829373650107989</c:v>
                </c:pt>
                <c:pt idx="9">
                  <c:v>6.4146868250539955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AB-4129-BFF8-DEECC7B9F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1800735"/>
        <c:axId val="1988839567"/>
      </c:lineChart>
      <c:catAx>
        <c:axId val="200180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39567"/>
        <c:crosses val="autoZero"/>
        <c:auto val="1"/>
        <c:lblAlgn val="ctr"/>
        <c:lblOffset val="100"/>
        <c:noMultiLvlLbl val="0"/>
      </c:catAx>
      <c:valAx>
        <c:axId val="198883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18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E-4BEC-B84E-04ACE77C18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E-4BEC-B84E-04ACE77C1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ARIMA계산과정!$K$58:$K$66</c:f>
              <c:numCache>
                <c:formatCode>General</c:formatCode>
                <c:ptCount val="9"/>
                <c:pt idx="0">
                  <c:v>16</c:v>
                </c:pt>
                <c:pt idx="1">
                  <c:v>7</c:v>
                </c:pt>
                <c:pt idx="2">
                  <c:v>14</c:v>
                </c:pt>
                <c:pt idx="3">
                  <c:v>8</c:v>
                </c:pt>
                <c:pt idx="4">
                  <c:v>16</c:v>
                </c:pt>
                <c:pt idx="5">
                  <c:v>6</c:v>
                </c:pt>
                <c:pt idx="6">
                  <c:v>15</c:v>
                </c:pt>
                <c:pt idx="7">
                  <c:v>4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C-4B0C-87DA-B2032F5BAF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ARIMA계산과정!$O$58:$O$66</c:f>
              <c:numCache>
                <c:formatCode>General</c:formatCode>
                <c:ptCount val="9"/>
                <c:pt idx="0">
                  <c:v>21.089150546677882</c:v>
                </c:pt>
                <c:pt idx="1">
                  <c:v>-4.8259041211101792</c:v>
                </c:pt>
                <c:pt idx="2">
                  <c:v>19.089150546677882</c:v>
                </c:pt>
                <c:pt idx="3">
                  <c:v>-0.65433137089991789</c:v>
                </c:pt>
                <c:pt idx="4">
                  <c:v>22.146341463414636</c:v>
                </c:pt>
                <c:pt idx="5">
                  <c:v>-6.8830950378469318</c:v>
                </c:pt>
                <c:pt idx="6">
                  <c:v>22.203532380151387</c:v>
                </c:pt>
                <c:pt idx="7">
                  <c:v>-9.9402859545836861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C-4B0C-87DA-B2032F5BA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1962335"/>
        <c:axId val="1988842479"/>
      </c:lineChart>
      <c:catAx>
        <c:axId val="18719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8842479"/>
        <c:crosses val="autoZero"/>
        <c:auto val="1"/>
        <c:lblAlgn val="ctr"/>
        <c:lblOffset val="100"/>
        <c:noMultiLvlLbl val="0"/>
      </c:catAx>
      <c:valAx>
        <c:axId val="19888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196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ARIMA(4,0,0)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ARIMA_test!$K$6:$K$26</c:f>
              <c:numCache>
                <c:formatCode>General</c:formatCode>
                <c:ptCount val="21"/>
                <c:pt idx="0">
                  <c:v>6.7109667539596565</c:v>
                </c:pt>
                <c:pt idx="1">
                  <c:v>5.9366646170616146</c:v>
                </c:pt>
                <c:pt idx="2">
                  <c:v>11.164860939979555</c:v>
                </c:pt>
                <c:pt idx="3">
                  <c:v>12.56812926530838</c:v>
                </c:pt>
                <c:pt idx="4">
                  <c:v>6.9264490723609917</c:v>
                </c:pt>
                <c:pt idx="5">
                  <c:v>7.2416336774826053</c:v>
                </c:pt>
                <c:pt idx="6">
                  <c:v>6.134083008766174</c:v>
                </c:pt>
                <c:pt idx="7">
                  <c:v>12.110129654407501</c:v>
                </c:pt>
                <c:pt idx="8">
                  <c:v>13.928802216053009</c:v>
                </c:pt>
                <c:pt idx="9">
                  <c:v>6.9905584931373603</c:v>
                </c:pt>
                <c:pt idx="10">
                  <c:v>6.4865580916404717</c:v>
                </c:pt>
                <c:pt idx="11">
                  <c:v>6.3400637269020077</c:v>
                </c:pt>
                <c:pt idx="12">
                  <c:v>11.975826895236969</c:v>
                </c:pt>
                <c:pt idx="13">
                  <c:v>13.003280317783355</c:v>
                </c:pt>
                <c:pt idx="14">
                  <c:v>6.3849506855010993</c:v>
                </c:pt>
                <c:pt idx="15">
                  <c:v>6.6791686058044437</c:v>
                </c:pt>
                <c:pt idx="16">
                  <c:v>7.4756402969360352</c:v>
                </c:pt>
                <c:pt idx="17">
                  <c:v>11.314558303356172</c:v>
                </c:pt>
                <c:pt idx="18">
                  <c:v>14.634813451766968</c:v>
                </c:pt>
                <c:pt idx="19">
                  <c:v>6.71299854516983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8-4FA2-AA32-2C98FE5FB2BA}"/>
            </c:ext>
          </c:extLst>
        </c:ser>
        <c:ser>
          <c:idx val="1"/>
          <c:order val="1"/>
          <c:tx>
            <c:strRef>
              <c:f>ARIMA_test!$P$5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ARIMA_test!$P$6:$P$25</c:f>
              <c:numCache>
                <c:formatCode>General</c:formatCode>
                <c:ptCount val="20"/>
                <c:pt idx="10">
                  <c:v>6.7368581960625837</c:v>
                </c:pt>
                <c:pt idx="11">
                  <c:v>6.6805134489657343</c:v>
                </c:pt>
                <c:pt idx="12">
                  <c:v>11.871054824545052</c:v>
                </c:pt>
                <c:pt idx="13">
                  <c:v>13.536902197667697</c:v>
                </c:pt>
                <c:pt idx="14">
                  <c:v>7.2422519328016062</c:v>
                </c:pt>
                <c:pt idx="15">
                  <c:v>6.9112534621239465</c:v>
                </c:pt>
                <c:pt idx="16">
                  <c:v>7.302353003334372</c:v>
                </c:pt>
                <c:pt idx="17">
                  <c:v>10.872985640611661</c:v>
                </c:pt>
                <c:pt idx="18">
                  <c:v>14.881155552712444</c:v>
                </c:pt>
                <c:pt idx="19">
                  <c:v>6.7432279002543964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28-4FA2-AA32-2C98FE5FB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119"/>
        <c:axId val="852885583"/>
      </c:lineChart>
      <c:catAx>
        <c:axId val="1767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2885583"/>
        <c:crosses val="autoZero"/>
        <c:auto val="1"/>
        <c:lblAlgn val="ctr"/>
        <c:lblOffset val="100"/>
        <c:noMultiLvlLbl val="0"/>
      </c:catAx>
      <c:valAx>
        <c:axId val="85288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7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ARIMA(1,0,0)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ARIMA_test!$B$6:$B$25</c:f>
              <c:numCache>
                <c:formatCode>General</c:formatCode>
                <c:ptCount val="20"/>
                <c:pt idx="0">
                  <c:v>51.041272878646851</c:v>
                </c:pt>
                <c:pt idx="1">
                  <c:v>47.018086787901424</c:v>
                </c:pt>
                <c:pt idx="2">
                  <c:v>46.350896113797241</c:v>
                </c:pt>
                <c:pt idx="3">
                  <c:v>41.237057080394344</c:v>
                </c:pt>
                <c:pt idx="4">
                  <c:v>38.849149453012565</c:v>
                </c:pt>
                <c:pt idx="5">
                  <c:v>36.375488623192439</c:v>
                </c:pt>
                <c:pt idx="6">
                  <c:v>36.132964353812369</c:v>
                </c:pt>
                <c:pt idx="7">
                  <c:v>29.525399543737109</c:v>
                </c:pt>
                <c:pt idx="8">
                  <c:v>27.277848933872423</c:v>
                </c:pt>
                <c:pt idx="9">
                  <c:v>27.405577989001024</c:v>
                </c:pt>
                <c:pt idx="10">
                  <c:v>25.291501252274763</c:v>
                </c:pt>
                <c:pt idx="11">
                  <c:v>21.500742281738081</c:v>
                </c:pt>
                <c:pt idx="12">
                  <c:v>19.196328840757673</c:v>
                </c:pt>
                <c:pt idx="13">
                  <c:v>14.313982326733438</c:v>
                </c:pt>
                <c:pt idx="14">
                  <c:v>12.772124484965676</c:v>
                </c:pt>
                <c:pt idx="15">
                  <c:v>10.638732267053504</c:v>
                </c:pt>
                <c:pt idx="16">
                  <c:v>8.2401482556995589</c:v>
                </c:pt>
                <c:pt idx="17">
                  <c:v>4.0065243902959313</c:v>
                </c:pt>
                <c:pt idx="18">
                  <c:v>4.4198657901663525</c:v>
                </c:pt>
                <c:pt idx="19">
                  <c:v>-0.28322571516037032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8-4B4A-90FF-E8833011E1C5}"/>
            </c:ext>
          </c:extLst>
        </c:ser>
        <c:ser>
          <c:idx val="1"/>
          <c:order val="1"/>
          <c:tx>
            <c:strRef>
              <c:f>ARIMA_test!$D$5</c:f>
              <c:strCache>
                <c:ptCount val="1"/>
                <c:pt idx="0">
                  <c:v>예측값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ARIMA_test!$D$6:$D$25</c:f>
              <c:numCache>
                <c:formatCode>General</c:formatCode>
                <c:ptCount val="20"/>
                <c:pt idx="10">
                  <c:v>25.937935625948271</c:v>
                </c:pt>
                <c:pt idx="11">
                  <c:v>24.029567313872448</c:v>
                </c:pt>
                <c:pt idx="12">
                  <c:v>20.607664895471217</c:v>
                </c:pt>
                <c:pt idx="13">
                  <c:v>18.527480428989364</c:v>
                </c:pt>
                <c:pt idx="14">
                  <c:v>14.120206457295238</c:v>
                </c:pt>
                <c:pt idx="15">
                  <c:v>12.72837777111817</c:v>
                </c:pt>
                <c:pt idx="16">
                  <c:v>10.802573454195725</c:v>
                </c:pt>
                <c:pt idx="17">
                  <c:v>8.6373816039661744</c:v>
                </c:pt>
                <c:pt idx="18">
                  <c:v>4.8157068796629279</c:v>
                </c:pt>
                <c:pt idx="19">
                  <c:v>5.1888284489410976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8-4B4A-90FF-E8833011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47135"/>
        <c:axId val="978200527"/>
      </c:lineChart>
      <c:catAx>
        <c:axId val="85784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00527"/>
        <c:crosses val="autoZero"/>
        <c:auto val="1"/>
        <c:lblAlgn val="ctr"/>
        <c:lblOffset val="100"/>
        <c:noMultiLvlLbl val="0"/>
      </c:catAx>
      <c:valAx>
        <c:axId val="97820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47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ARIMA_test!$B$47:$B$66</c:f>
              <c:numCache>
                <c:formatCode>General</c:formatCode>
                <c:ptCount val="20"/>
                <c:pt idx="0">
                  <c:v>3.7081152200698853</c:v>
                </c:pt>
                <c:pt idx="1">
                  <c:v>4.0876848697662354</c:v>
                </c:pt>
                <c:pt idx="2">
                  <c:v>3.5960328578948975</c:v>
                </c:pt>
                <c:pt idx="3">
                  <c:v>2.6397987604141235</c:v>
                </c:pt>
                <c:pt idx="4">
                  <c:v>2.1870521306991577</c:v>
                </c:pt>
                <c:pt idx="5">
                  <c:v>1.2696194648742676</c:v>
                </c:pt>
                <c:pt idx="6">
                  <c:v>1.4839158058166504</c:v>
                </c:pt>
                <c:pt idx="7">
                  <c:v>2.4650124311447144</c:v>
                </c:pt>
                <c:pt idx="8">
                  <c:v>2.5347462892532349</c:v>
                </c:pt>
                <c:pt idx="9">
                  <c:v>1.5464541912078857</c:v>
                </c:pt>
                <c:pt idx="10">
                  <c:v>1.9835827350616455</c:v>
                </c:pt>
                <c:pt idx="11">
                  <c:v>2.7654210329055786</c:v>
                </c:pt>
                <c:pt idx="12">
                  <c:v>2.5252150297164917</c:v>
                </c:pt>
                <c:pt idx="13">
                  <c:v>1.6898870468139648</c:v>
                </c:pt>
                <c:pt idx="14">
                  <c:v>2.4986896514892578</c:v>
                </c:pt>
                <c:pt idx="15">
                  <c:v>2.1738065481185913</c:v>
                </c:pt>
                <c:pt idx="16">
                  <c:v>1.7288624048233032</c:v>
                </c:pt>
                <c:pt idx="17">
                  <c:v>2.5824558734893799</c:v>
                </c:pt>
                <c:pt idx="18">
                  <c:v>1.6003730297088623</c:v>
                </c:pt>
                <c:pt idx="19">
                  <c:v>1.3205095529556274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2-4EF2-BAFD-2112E7F1396F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ARIMA_test!$D$47:$D$66</c:f>
              <c:numCache>
                <c:formatCode>General</c:formatCode>
                <c:ptCount val="20"/>
                <c:pt idx="10">
                  <c:v>1.613196282969739</c:v>
                </c:pt>
                <c:pt idx="11">
                  <c:v>1.9302223008137913</c:v>
                </c:pt>
                <c:pt idx="12">
                  <c:v>2.4972479175311393</c:v>
                </c:pt>
                <c:pt idx="13">
                  <c:v>2.3230393152241064</c:v>
                </c:pt>
                <c:pt idx="14">
                  <c:v>1.7172204828993798</c:v>
                </c:pt>
                <c:pt idx="15">
                  <c:v>2.303801873173192</c:v>
                </c:pt>
                <c:pt idx="16">
                  <c:v>2.0681814865052437</c:v>
                </c:pt>
                <c:pt idx="17">
                  <c:v>1.7454872312448746</c:v>
                </c:pt>
                <c:pt idx="18">
                  <c:v>2.3645530461723725</c:v>
                </c:pt>
                <c:pt idx="19">
                  <c:v>1.6523007406792309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2-4EF2-BAFD-2112E7F13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4319"/>
        <c:axId val="861286415"/>
      </c:lineChart>
      <c:catAx>
        <c:axId val="17724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1286415"/>
        <c:crosses val="autoZero"/>
        <c:auto val="1"/>
        <c:lblAlgn val="ctr"/>
        <c:lblOffset val="100"/>
        <c:noMultiLvlLbl val="0"/>
      </c:catAx>
      <c:valAx>
        <c:axId val="86128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7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실제값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ARIMA_test!$M$47:$M$66</c:f>
              <c:numCache>
                <c:formatCode>General</c:formatCode>
                <c:ptCount val="20"/>
                <c:pt idx="0">
                  <c:v>3.7081152200698853</c:v>
                </c:pt>
                <c:pt idx="1">
                  <c:v>4.0876848697662354</c:v>
                </c:pt>
                <c:pt idx="2">
                  <c:v>3.5960328578948975</c:v>
                </c:pt>
                <c:pt idx="3">
                  <c:v>2.6397987604141235</c:v>
                </c:pt>
                <c:pt idx="4">
                  <c:v>2.1870521306991577</c:v>
                </c:pt>
                <c:pt idx="5">
                  <c:v>1.2696194648742676</c:v>
                </c:pt>
                <c:pt idx="6">
                  <c:v>1.4839158058166504</c:v>
                </c:pt>
                <c:pt idx="7">
                  <c:v>2.4650124311447144</c:v>
                </c:pt>
                <c:pt idx="8">
                  <c:v>2.5347462892532349</c:v>
                </c:pt>
                <c:pt idx="9">
                  <c:v>1.5464541912078857</c:v>
                </c:pt>
                <c:pt idx="10">
                  <c:v>1.9835827350616455</c:v>
                </c:pt>
                <c:pt idx="11">
                  <c:v>2.7654210329055786</c:v>
                </c:pt>
                <c:pt idx="12">
                  <c:v>2.5252150297164917</c:v>
                </c:pt>
                <c:pt idx="13">
                  <c:v>1.6898870468139648</c:v>
                </c:pt>
                <c:pt idx="14">
                  <c:v>2.4986896514892578</c:v>
                </c:pt>
                <c:pt idx="15">
                  <c:v>2.1738065481185913</c:v>
                </c:pt>
                <c:pt idx="16">
                  <c:v>1.7288624048233032</c:v>
                </c:pt>
                <c:pt idx="17">
                  <c:v>2.5824558734893799</c:v>
                </c:pt>
                <c:pt idx="18">
                  <c:v>1.6003730297088623</c:v>
                </c:pt>
                <c:pt idx="19">
                  <c:v>1.3205095529556274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0-47F8-ACCA-CEEA4D2A4EB0}"/>
            </c:ext>
          </c:extLst>
        </c:ser>
        <c:ser>
          <c:idx val="1"/>
          <c:order val="1"/>
          <c:tx>
            <c:v>예측값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ARIMA_test!$Q$47:$Q$66</c:f>
              <c:numCache>
                <c:formatCode>General</c:formatCode>
                <c:ptCount val="20"/>
                <c:pt idx="10">
                  <c:v>2.180545670049109</c:v>
                </c:pt>
                <c:pt idx="11">
                  <c:v>2.9436417536611312</c:v>
                </c:pt>
                <c:pt idx="12">
                  <c:v>2.7590053217497128</c:v>
                </c:pt>
                <c:pt idx="13">
                  <c:v>1.9560347163475225</c:v>
                </c:pt>
                <c:pt idx="14">
                  <c:v>2.6754442959026168</c:v>
                </c:pt>
                <c:pt idx="15">
                  <c:v>2.4122008188143522</c:v>
                </c:pt>
                <c:pt idx="16">
                  <c:v>1.9737845143896677</c:v>
                </c:pt>
                <c:pt idx="17">
                  <c:v>2.7567751938110061</c:v>
                </c:pt>
                <c:pt idx="18">
                  <c:v>1.8744999078673898</c:v>
                </c:pt>
                <c:pt idx="19">
                  <c:v>1.3205095529556274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0-47F8-ACCA-CEEA4D2A4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70735"/>
        <c:axId val="978210927"/>
      </c:lineChart>
      <c:catAx>
        <c:axId val="857870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210927"/>
        <c:crosses val="autoZero"/>
        <c:auto val="1"/>
        <c:lblAlgn val="ctr"/>
        <c:lblOffset val="100"/>
        <c:noMultiLvlLbl val="0"/>
      </c:catAx>
      <c:valAx>
        <c:axId val="97821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787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8.xml"/><Relationship Id="rId7" Type="http://schemas.openxmlformats.org/officeDocument/2006/relationships/image" Target="../media/image3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10" Type="http://schemas.openxmlformats.org/officeDocument/2006/relationships/image" Target="../media/image6.png"/><Relationship Id="rId4" Type="http://schemas.openxmlformats.org/officeDocument/2006/relationships/chart" Target="../charts/chart9.xm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25</xdr:row>
      <xdr:rowOff>6724</xdr:rowOff>
    </xdr:from>
    <xdr:to>
      <xdr:col>6</xdr:col>
      <xdr:colOff>796636</xdr:colOff>
      <xdr:row>37</xdr:row>
      <xdr:rowOff>173182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16808</xdr:colOff>
      <xdr:row>25</xdr:row>
      <xdr:rowOff>6723</xdr:rowOff>
    </xdr:from>
    <xdr:to>
      <xdr:col>15</xdr:col>
      <xdr:colOff>649941</xdr:colOff>
      <xdr:row>37</xdr:row>
      <xdr:rowOff>194982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6724</xdr:rowOff>
    </xdr:from>
    <xdr:to>
      <xdr:col>6</xdr:col>
      <xdr:colOff>773205</xdr:colOff>
      <xdr:row>78</xdr:row>
      <xdr:rowOff>194982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22412</xdr:colOff>
      <xdr:row>65</xdr:row>
      <xdr:rowOff>208430</xdr:rowOff>
    </xdr:from>
    <xdr:to>
      <xdr:col>15</xdr:col>
      <xdr:colOff>649941</xdr:colOff>
      <xdr:row>78</xdr:row>
      <xdr:rowOff>183777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24</xdr:row>
      <xdr:rowOff>208430</xdr:rowOff>
    </xdr:from>
    <xdr:to>
      <xdr:col>6</xdr:col>
      <xdr:colOff>649941</xdr:colOff>
      <xdr:row>37</xdr:row>
      <xdr:rowOff>183777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8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선형적 패턴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8</xdr:row>
          <xdr:rowOff>19050</xdr:rowOff>
        </xdr:from>
        <xdr:to>
          <xdr:col>21</xdr:col>
          <xdr:colOff>676275</xdr:colOff>
          <xdr:row>11</xdr:row>
          <xdr:rowOff>9525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패턴이 있는 데이터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22411</xdr:colOff>
      <xdr:row>25</xdr:row>
      <xdr:rowOff>6724</xdr:rowOff>
    </xdr:from>
    <xdr:to>
      <xdr:col>21</xdr:col>
      <xdr:colOff>638735</xdr:colOff>
      <xdr:row>37</xdr:row>
      <xdr:rowOff>194983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11206</xdr:colOff>
      <xdr:row>24</xdr:row>
      <xdr:rowOff>208431</xdr:rowOff>
    </xdr:from>
    <xdr:to>
      <xdr:col>6</xdr:col>
      <xdr:colOff>806823</xdr:colOff>
      <xdr:row>37</xdr:row>
      <xdr:rowOff>183778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47</xdr:row>
          <xdr:rowOff>0</xdr:rowOff>
        </xdr:from>
        <xdr:to>
          <xdr:col>9</xdr:col>
          <xdr:colOff>666750</xdr:colOff>
          <xdr:row>49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비정상성 데이터추가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193222</xdr:rowOff>
    </xdr:from>
    <xdr:to>
      <xdr:col>6</xdr:col>
      <xdr:colOff>802821</xdr:colOff>
      <xdr:row>78</xdr:row>
      <xdr:rowOff>190500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27215</xdr:colOff>
      <xdr:row>66</xdr:row>
      <xdr:rowOff>16329</xdr:rowOff>
    </xdr:from>
    <xdr:to>
      <xdr:col>19</xdr:col>
      <xdr:colOff>639535</xdr:colOff>
      <xdr:row>78</xdr:row>
      <xdr:rowOff>190500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353785</xdr:colOff>
      <xdr:row>11</xdr:row>
      <xdr:rowOff>176893</xdr:rowOff>
    </xdr:from>
    <xdr:to>
      <xdr:col>5</xdr:col>
      <xdr:colOff>479178</xdr:colOff>
      <xdr:row>13</xdr:row>
      <xdr:rowOff>102100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30928" y="2422072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3</xdr:col>
      <xdr:colOff>340178</xdr:colOff>
      <xdr:row>13</xdr:row>
      <xdr:rowOff>108858</xdr:rowOff>
    </xdr:from>
    <xdr:to>
      <xdr:col>6</xdr:col>
      <xdr:colOff>760994</xdr:colOff>
      <xdr:row>14</xdr:row>
      <xdr:rowOff>171489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321" y="2762251"/>
          <a:ext cx="2543530" cy="266737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12</xdr:row>
      <xdr:rowOff>27214</xdr:rowOff>
    </xdr:from>
    <xdr:to>
      <xdr:col>21</xdr:col>
      <xdr:colOff>604678</xdr:colOff>
      <xdr:row>13</xdr:row>
      <xdr:rowOff>99371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25250" y="2476500"/>
          <a:ext cx="3734321" cy="276264"/>
        </a:xfrm>
        <a:prstGeom prst="rect">
          <a:avLst/>
        </a:prstGeom>
      </xdr:spPr>
    </xdr:pic>
    <xdr:clientData/>
  </xdr:twoCellAnchor>
  <xdr:twoCellAnchor editAs="oneCell">
    <xdr:from>
      <xdr:col>16</xdr:col>
      <xdr:colOff>272143</xdr:colOff>
      <xdr:row>13</xdr:row>
      <xdr:rowOff>149678</xdr:rowOff>
    </xdr:from>
    <xdr:to>
      <xdr:col>21</xdr:col>
      <xdr:colOff>54428</xdr:colOff>
      <xdr:row>14</xdr:row>
      <xdr:rowOff>189805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525250" y="2803071"/>
          <a:ext cx="3184071" cy="244233"/>
        </a:xfrm>
        <a:prstGeom prst="rect">
          <a:avLst/>
        </a:prstGeom>
      </xdr:spPr>
    </xdr:pic>
    <xdr:clientData/>
  </xdr:twoCellAnchor>
  <xdr:twoCellAnchor editAs="oneCell">
    <xdr:from>
      <xdr:col>16</xdr:col>
      <xdr:colOff>190499</xdr:colOff>
      <xdr:row>15</xdr:row>
      <xdr:rowOff>13607</xdr:rowOff>
    </xdr:from>
    <xdr:to>
      <xdr:col>21</xdr:col>
      <xdr:colOff>656444</xdr:colOff>
      <xdr:row>16</xdr:row>
      <xdr:rowOff>128854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43606" y="3075214"/>
          <a:ext cx="3867731" cy="319354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53</xdr:row>
      <xdr:rowOff>-1</xdr:rowOff>
    </xdr:from>
    <xdr:to>
      <xdr:col>5</xdr:col>
      <xdr:colOff>506392</xdr:colOff>
      <xdr:row>54</xdr:row>
      <xdr:rowOff>129314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58142" y="10817678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3</xdr:col>
      <xdr:colOff>340179</xdr:colOff>
      <xdr:row>54</xdr:row>
      <xdr:rowOff>122464</xdr:rowOff>
    </xdr:from>
    <xdr:to>
      <xdr:col>6</xdr:col>
      <xdr:colOff>789574</xdr:colOff>
      <xdr:row>55</xdr:row>
      <xdr:rowOff>194621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7322" y="11144250"/>
          <a:ext cx="2572109" cy="276264"/>
        </a:xfrm>
        <a:prstGeom prst="rect">
          <a:avLst/>
        </a:prstGeom>
      </xdr:spPr>
    </xdr:pic>
    <xdr:clientData/>
  </xdr:twoCellAnchor>
  <xdr:twoCellAnchor editAs="oneCell">
    <xdr:from>
      <xdr:col>16</xdr:col>
      <xdr:colOff>84364</xdr:colOff>
      <xdr:row>52</xdr:row>
      <xdr:rowOff>193221</xdr:rowOff>
    </xdr:from>
    <xdr:to>
      <xdr:col>18</xdr:col>
      <xdr:colOff>209757</xdr:colOff>
      <xdr:row>54</xdr:row>
      <xdr:rowOff>118429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337471" y="10806792"/>
          <a:ext cx="1486107" cy="333422"/>
        </a:xfrm>
        <a:prstGeom prst="rect">
          <a:avLst/>
        </a:prstGeom>
      </xdr:spPr>
    </xdr:pic>
    <xdr:clientData/>
  </xdr:twoCellAnchor>
  <xdr:twoCellAnchor editAs="oneCell">
    <xdr:from>
      <xdr:col>16</xdr:col>
      <xdr:colOff>43544</xdr:colOff>
      <xdr:row>54</xdr:row>
      <xdr:rowOff>111578</xdr:rowOff>
    </xdr:from>
    <xdr:to>
      <xdr:col>19</xdr:col>
      <xdr:colOff>574582</xdr:colOff>
      <xdr:row>55</xdr:row>
      <xdr:rowOff>183735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96651" y="11133364"/>
          <a:ext cx="2572109" cy="276264"/>
        </a:xfrm>
        <a:prstGeom prst="rect">
          <a:avLst/>
        </a:prstGeom>
      </xdr:spPr>
    </xdr:pic>
    <xdr:clientData/>
  </xdr:twoCellAnchor>
  <xdr:twoCellAnchor editAs="oneCell">
    <xdr:from>
      <xdr:col>24</xdr:col>
      <xdr:colOff>692729</xdr:colOff>
      <xdr:row>13</xdr:row>
      <xdr:rowOff>0</xdr:rowOff>
    </xdr:from>
    <xdr:to>
      <xdr:col>27</xdr:col>
      <xdr:colOff>748173</xdr:colOff>
      <xdr:row>14</xdr:row>
      <xdr:rowOff>72157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E37C86C0-0D28-4E73-B77E-C2F5B82BD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76274" y="1073727"/>
          <a:ext cx="3796172" cy="279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07C62-555B-4930-B84A-DF271ED96E38}">
  <sheetPr codeName="Sheet8"/>
  <dimension ref="A1:V79"/>
  <sheetViews>
    <sheetView topLeftCell="A4" zoomScale="85" zoomScaleNormal="85" workbookViewId="0">
      <selection activeCell="H15" sqref="H15"/>
    </sheetView>
  </sheetViews>
  <sheetFormatPr defaultRowHeight="16.5" x14ac:dyDescent="0.3"/>
  <cols>
    <col min="1" max="1" width="10.625" customWidth="1"/>
    <col min="6" max="6" width="10" customWidth="1"/>
    <col min="7" max="7" width="10.875" customWidth="1"/>
    <col min="10" max="12" width="9" customWidth="1"/>
  </cols>
  <sheetData>
    <row r="1" spans="1:22" x14ac:dyDescent="0.3">
      <c r="A1" s="26" t="s">
        <v>5</v>
      </c>
      <c r="B1" s="27"/>
      <c r="C1" s="27"/>
      <c r="D1" s="27"/>
      <c r="E1" s="27"/>
      <c r="F1" s="27"/>
      <c r="G1" s="28"/>
      <c r="H1" s="6"/>
      <c r="J1" s="26" t="s">
        <v>3</v>
      </c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8"/>
    </row>
    <row r="2" spans="1:22" x14ac:dyDescent="0.3">
      <c r="A2" s="29"/>
      <c r="B2" s="30"/>
      <c r="C2" s="30"/>
      <c r="D2" s="30"/>
      <c r="E2" s="30"/>
      <c r="F2" s="30"/>
      <c r="G2" s="31"/>
      <c r="H2" s="6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2" x14ac:dyDescent="0.3">
      <c r="A3" s="32" t="s">
        <v>6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</row>
    <row r="4" spans="1:22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</row>
    <row r="5" spans="1:22" x14ac:dyDescent="0.3">
      <c r="A5" s="23" t="s">
        <v>15</v>
      </c>
      <c r="B5" s="24" t="s">
        <v>2</v>
      </c>
      <c r="C5" s="24" t="s">
        <v>8</v>
      </c>
      <c r="D5" s="24" t="s">
        <v>23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</row>
    <row r="6" spans="1:22" x14ac:dyDescent="0.3">
      <c r="A6" s="2">
        <v>1</v>
      </c>
      <c r="B6" s="10">
        <v>1.3</v>
      </c>
      <c r="C6" s="6"/>
      <c r="D6" s="6"/>
      <c r="E6" s="6"/>
      <c r="F6" s="16">
        <f t="array" ref="F6:G6">LINEST(B7:B15,C7:C15,TRUE,TRUE)</f>
        <v>1.0075535972155369</v>
      </c>
      <c r="G6" s="17">
        <v>0.99313141037508768</v>
      </c>
      <c r="H6" s="6"/>
      <c r="J6" s="2">
        <v>1</v>
      </c>
      <c r="K6" s="10">
        <v>1.3</v>
      </c>
      <c r="L6" s="6"/>
      <c r="M6" s="6"/>
      <c r="N6" s="6"/>
      <c r="O6" s="6"/>
      <c r="P6" s="6"/>
      <c r="Q6" s="6"/>
      <c r="R6" s="13">
        <f t="array" ref="R6:V6">LINEST(K10:K15, L10:O15, TRUE, TRUE)</f>
        <v>-1.0530294089364687</v>
      </c>
      <c r="S6" s="13">
        <v>-1.1384930996700433</v>
      </c>
      <c r="T6" s="13">
        <v>-1.1315901718781394</v>
      </c>
      <c r="U6" s="13">
        <v>-0.90072489320856153</v>
      </c>
      <c r="V6" s="14">
        <v>11.500064628124402</v>
      </c>
    </row>
    <row r="7" spans="1:22" x14ac:dyDescent="0.3">
      <c r="A7" s="2">
        <v>2</v>
      </c>
      <c r="B7" s="16">
        <v>2.1</v>
      </c>
      <c r="C7" s="16">
        <f>B6</f>
        <v>1.3</v>
      </c>
      <c r="D7" s="6"/>
      <c r="E7" s="33" t="s">
        <v>17</v>
      </c>
      <c r="F7" s="33"/>
      <c r="G7" s="34"/>
      <c r="H7" s="6"/>
      <c r="J7" s="2">
        <v>2</v>
      </c>
      <c r="K7" s="10">
        <v>1.1000000000000001</v>
      </c>
      <c r="L7" s="6">
        <f>K6</f>
        <v>1.3</v>
      </c>
      <c r="M7" s="6"/>
      <c r="N7" s="6"/>
      <c r="O7" s="6"/>
      <c r="P7" s="6"/>
      <c r="Q7" s="6"/>
      <c r="R7" s="6"/>
      <c r="S7" s="6"/>
      <c r="T7" s="6"/>
      <c r="U7" s="6"/>
      <c r="V7" s="1"/>
    </row>
    <row r="8" spans="1:22" x14ac:dyDescent="0.3">
      <c r="A8" s="2">
        <v>3</v>
      </c>
      <c r="B8" s="16">
        <v>3.5</v>
      </c>
      <c r="C8" s="16">
        <f t="shared" ref="C8:C25" si="0">B7</f>
        <v>2.1</v>
      </c>
      <c r="D8" s="6"/>
      <c r="E8" s="33"/>
      <c r="F8" s="33"/>
      <c r="G8" s="34"/>
      <c r="H8" s="6"/>
      <c r="J8" s="2">
        <v>3</v>
      </c>
      <c r="K8" s="10">
        <v>3.1</v>
      </c>
      <c r="L8" s="6">
        <f t="shared" ref="L8:O15" si="1">K7</f>
        <v>1.1000000000000001</v>
      </c>
      <c r="M8" s="6">
        <f>L7</f>
        <v>1.3</v>
      </c>
      <c r="N8" s="6"/>
      <c r="O8" s="6"/>
      <c r="P8" s="6"/>
      <c r="Q8" s="6"/>
      <c r="R8" s="6"/>
      <c r="S8" s="6"/>
      <c r="T8" s="6"/>
      <c r="U8" s="6"/>
      <c r="V8" s="1"/>
    </row>
    <row r="9" spans="1:22" x14ac:dyDescent="0.3">
      <c r="A9" s="2">
        <v>4</v>
      </c>
      <c r="B9" s="16">
        <v>4.0999999999999996</v>
      </c>
      <c r="C9" s="16">
        <f t="shared" si="0"/>
        <v>3.5</v>
      </c>
      <c r="D9" s="6"/>
      <c r="E9" s="6"/>
      <c r="F9" s="6"/>
      <c r="G9" s="1"/>
      <c r="H9" s="6"/>
      <c r="J9" s="2">
        <v>4</v>
      </c>
      <c r="K9" s="10">
        <v>3.9</v>
      </c>
      <c r="L9" s="6">
        <f t="shared" si="1"/>
        <v>3.1</v>
      </c>
      <c r="M9" s="6">
        <f t="shared" si="1"/>
        <v>1.1000000000000001</v>
      </c>
      <c r="N9" s="6">
        <f>M8</f>
        <v>1.3</v>
      </c>
      <c r="O9" s="6"/>
      <c r="P9" s="6"/>
      <c r="Q9" s="6"/>
      <c r="R9" s="6"/>
      <c r="S9" s="6"/>
      <c r="T9" s="6"/>
      <c r="U9" s="6"/>
      <c r="V9" s="1"/>
    </row>
    <row r="10" spans="1:22" x14ac:dyDescent="0.3">
      <c r="A10" s="2">
        <v>5</v>
      </c>
      <c r="B10" s="16">
        <v>5.6</v>
      </c>
      <c r="C10" s="16">
        <f t="shared" si="0"/>
        <v>4.0999999999999996</v>
      </c>
      <c r="D10" s="6"/>
      <c r="E10" s="6"/>
      <c r="F10" s="6"/>
      <c r="G10" s="1"/>
      <c r="H10" s="6"/>
      <c r="J10" s="2">
        <v>5</v>
      </c>
      <c r="K10" s="18">
        <v>1.2</v>
      </c>
      <c r="L10" s="16">
        <f t="shared" si="1"/>
        <v>3.9</v>
      </c>
      <c r="M10" s="16">
        <f t="shared" si="1"/>
        <v>3.1</v>
      </c>
      <c r="N10" s="16">
        <f t="shared" si="1"/>
        <v>1.1000000000000001</v>
      </c>
      <c r="O10" s="16">
        <f>N9</f>
        <v>1.3</v>
      </c>
      <c r="P10" s="6"/>
      <c r="Q10" s="6"/>
      <c r="R10" s="6"/>
      <c r="S10" s="6"/>
      <c r="T10" s="6"/>
      <c r="U10" s="6"/>
      <c r="V10" s="1"/>
    </row>
    <row r="11" spans="1:22" x14ac:dyDescent="0.3">
      <c r="A11" s="2">
        <v>6</v>
      </c>
      <c r="B11" s="16">
        <v>6.7</v>
      </c>
      <c r="C11" s="16">
        <f t="shared" si="0"/>
        <v>5.6</v>
      </c>
      <c r="D11" s="6"/>
      <c r="E11" s="6"/>
      <c r="F11" s="6"/>
      <c r="G11" s="1"/>
      <c r="H11" s="6"/>
      <c r="J11" s="2">
        <v>6</v>
      </c>
      <c r="K11" s="18">
        <v>1.4</v>
      </c>
      <c r="L11" s="16">
        <f t="shared" si="1"/>
        <v>1.2</v>
      </c>
      <c r="M11" s="16">
        <f t="shared" si="1"/>
        <v>3.9</v>
      </c>
      <c r="N11" s="16">
        <f t="shared" si="1"/>
        <v>3.1</v>
      </c>
      <c r="O11" s="16">
        <f t="shared" si="1"/>
        <v>1.1000000000000001</v>
      </c>
      <c r="P11" s="6"/>
      <c r="Q11" s="6"/>
      <c r="R11" s="6"/>
      <c r="S11" s="6"/>
      <c r="T11" s="6"/>
      <c r="U11" s="6"/>
      <c r="V11" s="1"/>
    </row>
    <row r="12" spans="1:22" x14ac:dyDescent="0.3">
      <c r="A12" s="2">
        <v>7</v>
      </c>
      <c r="B12" s="16">
        <v>7.2</v>
      </c>
      <c r="C12" s="16">
        <f t="shared" si="0"/>
        <v>6.7</v>
      </c>
      <c r="D12" s="6"/>
      <c r="E12" s="6"/>
      <c r="F12" s="6"/>
      <c r="G12" s="1"/>
      <c r="H12" s="6"/>
      <c r="J12" s="2">
        <v>7</v>
      </c>
      <c r="K12" s="18">
        <v>1.1000000000000001</v>
      </c>
      <c r="L12" s="16">
        <f t="shared" si="1"/>
        <v>1.4</v>
      </c>
      <c r="M12" s="16">
        <f t="shared" si="1"/>
        <v>1.2</v>
      </c>
      <c r="N12" s="16">
        <f t="shared" si="1"/>
        <v>3.9</v>
      </c>
      <c r="O12" s="16">
        <f t="shared" si="1"/>
        <v>3.1</v>
      </c>
      <c r="P12" s="6"/>
      <c r="Q12" s="6"/>
      <c r="R12" s="6"/>
      <c r="S12" s="6"/>
      <c r="T12" s="6"/>
      <c r="U12" s="6"/>
      <c r="V12" s="1"/>
    </row>
    <row r="13" spans="1:22" x14ac:dyDescent="0.3">
      <c r="A13" s="2">
        <v>8</v>
      </c>
      <c r="B13" s="16">
        <v>8.3000000000000007</v>
      </c>
      <c r="C13" s="16">
        <f t="shared" si="0"/>
        <v>7.2</v>
      </c>
      <c r="D13" s="6"/>
      <c r="E13" s="6"/>
      <c r="F13" s="6"/>
      <c r="G13" s="1"/>
      <c r="H13" s="6"/>
      <c r="J13" s="2">
        <v>8</v>
      </c>
      <c r="K13" s="18">
        <v>3.5</v>
      </c>
      <c r="L13" s="16">
        <f t="shared" si="1"/>
        <v>1.1000000000000001</v>
      </c>
      <c r="M13" s="16">
        <f t="shared" si="1"/>
        <v>1.4</v>
      </c>
      <c r="N13" s="16">
        <f t="shared" si="1"/>
        <v>1.2</v>
      </c>
      <c r="O13" s="16">
        <f t="shared" si="1"/>
        <v>3.9</v>
      </c>
      <c r="P13" s="6"/>
      <c r="Q13" s="6"/>
      <c r="R13" s="6"/>
      <c r="S13" s="6"/>
      <c r="T13" s="6"/>
      <c r="U13" s="6"/>
      <c r="V13" s="1"/>
    </row>
    <row r="14" spans="1:22" x14ac:dyDescent="0.3">
      <c r="A14" s="2">
        <v>9</v>
      </c>
      <c r="B14" s="16">
        <v>9.1</v>
      </c>
      <c r="C14" s="16">
        <f t="shared" si="0"/>
        <v>8.3000000000000007</v>
      </c>
      <c r="D14" s="6"/>
      <c r="E14" s="6"/>
      <c r="F14" s="6"/>
      <c r="G14" s="1"/>
      <c r="H14" s="6"/>
      <c r="J14" s="2">
        <v>9</v>
      </c>
      <c r="K14" s="18">
        <v>4.4000000000000004</v>
      </c>
      <c r="L14" s="16">
        <f t="shared" si="1"/>
        <v>3.5</v>
      </c>
      <c r="M14" s="16">
        <f t="shared" si="1"/>
        <v>1.1000000000000001</v>
      </c>
      <c r="N14" s="16">
        <f t="shared" si="1"/>
        <v>1.4</v>
      </c>
      <c r="O14" s="16">
        <f t="shared" si="1"/>
        <v>1.2</v>
      </c>
      <c r="P14" s="6"/>
      <c r="Q14" s="6"/>
      <c r="R14" s="6"/>
      <c r="S14" s="6"/>
      <c r="T14" s="6"/>
      <c r="U14" s="6"/>
      <c r="V14" s="1"/>
    </row>
    <row r="15" spans="1:22" x14ac:dyDescent="0.3">
      <c r="A15" s="2">
        <v>10</v>
      </c>
      <c r="B15" s="16">
        <v>10.6</v>
      </c>
      <c r="C15" s="16">
        <f t="shared" si="0"/>
        <v>9.1</v>
      </c>
      <c r="D15" s="6"/>
      <c r="E15" s="6"/>
      <c r="F15" s="6"/>
      <c r="G15" s="1"/>
      <c r="H15" s="6"/>
      <c r="J15" s="2">
        <v>10</v>
      </c>
      <c r="K15" s="18">
        <v>1.3</v>
      </c>
      <c r="L15" s="16">
        <f t="shared" si="1"/>
        <v>4.4000000000000004</v>
      </c>
      <c r="M15" s="16">
        <f t="shared" si="1"/>
        <v>3.5</v>
      </c>
      <c r="N15" s="16">
        <f t="shared" si="1"/>
        <v>1.1000000000000001</v>
      </c>
      <c r="O15" s="16">
        <f t="shared" si="1"/>
        <v>1.4</v>
      </c>
      <c r="P15" s="6"/>
      <c r="Q15" s="6"/>
      <c r="R15" s="6"/>
      <c r="S15" s="6"/>
      <c r="T15" s="6"/>
      <c r="U15" s="6"/>
      <c r="V15" s="1"/>
    </row>
    <row r="16" spans="1:22" x14ac:dyDescent="0.3">
      <c r="A16" s="2">
        <v>11</v>
      </c>
      <c r="B16" s="11">
        <v>11.3</v>
      </c>
      <c r="C16" s="6">
        <f t="shared" si="0"/>
        <v>10.6</v>
      </c>
      <c r="D16" s="8">
        <f t="shared" ref="D16:D25" si="2">$G$6+$F$6*C16</f>
        <v>11.67319954085978</v>
      </c>
      <c r="E16" s="12" t="s">
        <v>16</v>
      </c>
      <c r="F16" s="6"/>
      <c r="G16" s="1"/>
      <c r="H16" s="6"/>
      <c r="J16" s="2">
        <v>11</v>
      </c>
      <c r="K16" s="11">
        <v>1.2</v>
      </c>
      <c r="L16" s="6">
        <f t="shared" ref="L16:L25" si="3">K15</f>
        <v>1.3</v>
      </c>
      <c r="M16" s="6">
        <f t="shared" ref="M16:M25" si="4">L15</f>
        <v>4.4000000000000004</v>
      </c>
      <c r="N16" s="6">
        <f t="shared" ref="N16:N25" si="5">M15</f>
        <v>3.5</v>
      </c>
      <c r="O16" s="6">
        <f t="shared" ref="O16:O25" si="6">N15</f>
        <v>1.1000000000000001</v>
      </c>
      <c r="P16" s="8">
        <f t="shared" ref="P16:P25" si="7">$V$6+$U$6*L16+$T$6*M16+$S$6*N16+$R$6*O16</f>
        <v>0.20706731201419082</v>
      </c>
      <c r="Q16" s="9" t="s">
        <v>13</v>
      </c>
      <c r="R16" s="6"/>
      <c r="S16" s="6"/>
      <c r="T16" s="6"/>
      <c r="U16" s="6"/>
      <c r="V16" s="1"/>
    </row>
    <row r="17" spans="1:22" x14ac:dyDescent="0.3">
      <c r="A17" s="2">
        <v>12</v>
      </c>
      <c r="B17" s="11">
        <v>12.5</v>
      </c>
      <c r="C17" s="6">
        <f t="shared" si="0"/>
        <v>11.3</v>
      </c>
      <c r="D17" s="8">
        <f t="shared" si="2"/>
        <v>12.378487058910657</v>
      </c>
      <c r="E17" s="6"/>
      <c r="F17" s="6"/>
      <c r="G17" s="1"/>
      <c r="H17" s="6"/>
      <c r="J17" s="2">
        <v>12</v>
      </c>
      <c r="K17" s="11">
        <v>1.1000000000000001</v>
      </c>
      <c r="L17" s="6">
        <f t="shared" si="3"/>
        <v>1.2</v>
      </c>
      <c r="M17" s="6">
        <f t="shared" si="4"/>
        <v>1.3</v>
      </c>
      <c r="N17" s="6">
        <f t="shared" si="5"/>
        <v>4.4000000000000004</v>
      </c>
      <c r="O17" s="6">
        <f t="shared" si="6"/>
        <v>3.5</v>
      </c>
      <c r="P17" s="8">
        <f t="shared" si="7"/>
        <v>0.25315496300671647</v>
      </c>
      <c r="R17" s="12" t="s">
        <v>22</v>
      </c>
      <c r="S17" s="6"/>
      <c r="T17" s="6"/>
      <c r="U17" s="6"/>
      <c r="V17" s="1"/>
    </row>
    <row r="18" spans="1:22" x14ac:dyDescent="0.3">
      <c r="A18" s="2">
        <v>13</v>
      </c>
      <c r="B18" s="11">
        <v>13.2</v>
      </c>
      <c r="C18" s="6">
        <f t="shared" si="0"/>
        <v>12.5</v>
      </c>
      <c r="D18" s="8">
        <f t="shared" si="2"/>
        <v>13.587551375569298</v>
      </c>
      <c r="E18" s="6"/>
      <c r="F18" s="6"/>
      <c r="G18" s="1"/>
      <c r="H18" s="6"/>
      <c r="J18" s="2">
        <v>13</v>
      </c>
      <c r="K18" s="11">
        <v>3.6</v>
      </c>
      <c r="L18" s="6">
        <f t="shared" si="3"/>
        <v>1.1000000000000001</v>
      </c>
      <c r="M18" s="6">
        <f t="shared" si="4"/>
        <v>1.2</v>
      </c>
      <c r="N18" s="6">
        <f t="shared" si="5"/>
        <v>1.3</v>
      </c>
      <c r="O18" s="6">
        <f t="shared" si="6"/>
        <v>4.4000000000000004</v>
      </c>
      <c r="P18" s="8">
        <f t="shared" si="7"/>
        <v>3.0379886104496965</v>
      </c>
      <c r="Q18" s="6"/>
      <c r="R18" s="6"/>
      <c r="S18" s="6"/>
      <c r="T18" s="6"/>
      <c r="U18" s="6"/>
      <c r="V18" s="1"/>
    </row>
    <row r="19" spans="1:22" x14ac:dyDescent="0.3">
      <c r="A19" s="2">
        <v>14</v>
      </c>
      <c r="B19" s="11">
        <v>14.5</v>
      </c>
      <c r="C19" s="6">
        <f t="shared" si="0"/>
        <v>13.2</v>
      </c>
      <c r="D19" s="8">
        <f t="shared" si="2"/>
        <v>14.292838893620175</v>
      </c>
      <c r="E19" s="6"/>
      <c r="F19" s="6"/>
      <c r="G19" s="1"/>
      <c r="H19" s="6"/>
      <c r="J19" s="2">
        <v>14</v>
      </c>
      <c r="K19" s="11">
        <v>4.0999999999999996</v>
      </c>
      <c r="L19" s="6">
        <f t="shared" si="3"/>
        <v>3.6</v>
      </c>
      <c r="M19" s="6">
        <f t="shared" si="4"/>
        <v>1.1000000000000001</v>
      </c>
      <c r="N19" s="6">
        <f t="shared" si="5"/>
        <v>1.2</v>
      </c>
      <c r="O19" s="6">
        <f t="shared" si="6"/>
        <v>1.3</v>
      </c>
      <c r="P19" s="8">
        <f t="shared" si="7"/>
        <v>4.2775758722861656</v>
      </c>
      <c r="Q19" s="6"/>
      <c r="R19" s="6"/>
      <c r="S19" s="6"/>
      <c r="T19" s="6"/>
      <c r="U19" s="6"/>
      <c r="V19" s="1"/>
    </row>
    <row r="20" spans="1:22" x14ac:dyDescent="0.3">
      <c r="A20" s="2">
        <v>15</v>
      </c>
      <c r="B20" s="11">
        <v>15.1</v>
      </c>
      <c r="C20" s="6">
        <f t="shared" si="0"/>
        <v>14.5</v>
      </c>
      <c r="D20" s="8">
        <f t="shared" si="2"/>
        <v>15.602658570000372</v>
      </c>
      <c r="E20" s="6"/>
      <c r="F20" s="6"/>
      <c r="G20" s="1"/>
      <c r="H20" s="6"/>
      <c r="J20" s="2">
        <v>15</v>
      </c>
      <c r="K20" s="11">
        <v>1.3</v>
      </c>
      <c r="L20" s="6">
        <f t="shared" si="3"/>
        <v>4.0999999999999996</v>
      </c>
      <c r="M20" s="6">
        <f t="shared" si="4"/>
        <v>3.6</v>
      </c>
      <c r="N20" s="6">
        <f t="shared" si="5"/>
        <v>1.1000000000000001</v>
      </c>
      <c r="O20" s="6">
        <f t="shared" si="6"/>
        <v>1.2</v>
      </c>
      <c r="P20" s="8">
        <f t="shared" si="7"/>
        <v>1.2173902468471887</v>
      </c>
      <c r="Q20" s="6"/>
      <c r="R20" s="6"/>
      <c r="S20" s="6"/>
      <c r="T20" s="6"/>
      <c r="U20" s="6"/>
      <c r="V20" s="1"/>
    </row>
    <row r="21" spans="1:22" x14ac:dyDescent="0.3">
      <c r="A21" s="2">
        <v>16</v>
      </c>
      <c r="B21" s="11">
        <v>16.5</v>
      </c>
      <c r="C21" s="6">
        <f t="shared" si="0"/>
        <v>15.1</v>
      </c>
      <c r="D21" s="8">
        <f t="shared" si="2"/>
        <v>16.207190728329696</v>
      </c>
      <c r="E21" s="6"/>
      <c r="F21" s="6"/>
      <c r="G21" s="1"/>
      <c r="H21" s="6"/>
      <c r="J21" s="2">
        <v>16</v>
      </c>
      <c r="K21" s="11">
        <v>1.4</v>
      </c>
      <c r="L21" s="6">
        <f t="shared" si="3"/>
        <v>1.3</v>
      </c>
      <c r="M21" s="6">
        <f t="shared" si="4"/>
        <v>4.0999999999999996</v>
      </c>
      <c r="N21" s="6">
        <f t="shared" si="5"/>
        <v>3.6</v>
      </c>
      <c r="O21" s="6">
        <f t="shared" si="6"/>
        <v>1.1000000000000001</v>
      </c>
      <c r="P21" s="8">
        <f t="shared" si="7"/>
        <v>0.43269505361062954</v>
      </c>
      <c r="Q21" s="6"/>
      <c r="R21" s="6"/>
      <c r="S21" s="6"/>
      <c r="T21" s="6"/>
      <c r="U21" s="6"/>
      <c r="V21" s="1"/>
    </row>
    <row r="22" spans="1:22" x14ac:dyDescent="0.3">
      <c r="A22" s="2">
        <v>17</v>
      </c>
      <c r="B22" s="11">
        <v>17.399999999999999</v>
      </c>
      <c r="C22" s="6">
        <f t="shared" si="0"/>
        <v>16.5</v>
      </c>
      <c r="D22" s="8">
        <f t="shared" si="2"/>
        <v>17.617765764431446</v>
      </c>
      <c r="E22" s="6"/>
      <c r="F22" s="6"/>
      <c r="G22" s="1"/>
      <c r="J22" s="2">
        <v>17</v>
      </c>
      <c r="K22" s="11">
        <v>1.5</v>
      </c>
      <c r="L22" s="6">
        <f t="shared" si="3"/>
        <v>1.4</v>
      </c>
      <c r="M22" s="6">
        <f t="shared" si="4"/>
        <v>1.3</v>
      </c>
      <c r="N22" s="6">
        <f t="shared" si="5"/>
        <v>4.0999999999999996</v>
      </c>
      <c r="O22" s="6">
        <f t="shared" si="6"/>
        <v>3.6</v>
      </c>
      <c r="P22" s="8">
        <f t="shared" si="7"/>
        <v>0.30925497337237084</v>
      </c>
      <c r="Q22" s="6"/>
      <c r="R22" s="6"/>
      <c r="S22" s="6"/>
      <c r="T22" s="6"/>
      <c r="U22" s="6"/>
      <c r="V22" s="1"/>
    </row>
    <row r="23" spans="1:22" x14ac:dyDescent="0.3">
      <c r="A23" s="2">
        <v>18</v>
      </c>
      <c r="B23" s="11">
        <v>18</v>
      </c>
      <c r="C23" s="6">
        <f t="shared" si="0"/>
        <v>17.399999999999999</v>
      </c>
      <c r="D23" s="8">
        <f t="shared" si="2"/>
        <v>18.52456400192543</v>
      </c>
      <c r="E23" s="6"/>
      <c r="F23" s="6"/>
      <c r="G23" s="1"/>
      <c r="J23" s="2">
        <v>18</v>
      </c>
      <c r="K23" s="11">
        <v>3.1</v>
      </c>
      <c r="L23" s="6">
        <f t="shared" si="3"/>
        <v>1.5</v>
      </c>
      <c r="M23" s="6">
        <f t="shared" si="4"/>
        <v>1.4</v>
      </c>
      <c r="N23" s="6">
        <f t="shared" si="5"/>
        <v>1.3</v>
      </c>
      <c r="O23" s="6">
        <f t="shared" si="6"/>
        <v>4.0999999999999996</v>
      </c>
      <c r="P23" s="8">
        <f t="shared" si="7"/>
        <v>2.7672894414715872</v>
      </c>
      <c r="Q23" s="6"/>
      <c r="R23" s="6"/>
      <c r="S23" s="6"/>
      <c r="T23" s="6"/>
      <c r="U23" s="6"/>
      <c r="V23" s="1"/>
    </row>
    <row r="24" spans="1:22" x14ac:dyDescent="0.3">
      <c r="A24" s="2">
        <v>19</v>
      </c>
      <c r="B24" s="11">
        <v>19.3</v>
      </c>
      <c r="C24" s="6">
        <f t="shared" si="0"/>
        <v>18</v>
      </c>
      <c r="D24" s="8">
        <f t="shared" si="2"/>
        <v>19.129096160254754</v>
      </c>
      <c r="E24" s="6"/>
      <c r="F24" s="6"/>
      <c r="G24" s="1"/>
      <c r="J24" s="2">
        <v>19</v>
      </c>
      <c r="K24" s="11">
        <v>4.9000000000000004</v>
      </c>
      <c r="L24" s="6">
        <f t="shared" si="3"/>
        <v>3.1</v>
      </c>
      <c r="M24" s="6">
        <f t="shared" si="4"/>
        <v>1.5</v>
      </c>
      <c r="N24" s="6">
        <f t="shared" si="5"/>
        <v>1.4</v>
      </c>
      <c r="O24" s="6">
        <f t="shared" si="6"/>
        <v>1.3</v>
      </c>
      <c r="P24" s="8">
        <f t="shared" si="7"/>
        <v>4.047603630205181</v>
      </c>
      <c r="Q24" s="6"/>
      <c r="R24" s="6"/>
      <c r="S24" s="6"/>
      <c r="T24" s="6"/>
      <c r="U24" s="6"/>
      <c r="V24" s="1"/>
    </row>
    <row r="25" spans="1:22" x14ac:dyDescent="0.3">
      <c r="A25" s="2">
        <v>20</v>
      </c>
      <c r="B25" s="11">
        <v>20.9</v>
      </c>
      <c r="C25" s="6">
        <f t="shared" si="0"/>
        <v>19.3</v>
      </c>
      <c r="D25" s="8">
        <f t="shared" si="2"/>
        <v>20.438915836634951</v>
      </c>
      <c r="E25" s="6"/>
      <c r="F25" s="6"/>
      <c r="G25" s="1"/>
      <c r="J25" s="2">
        <v>20</v>
      </c>
      <c r="K25" s="11">
        <v>1.1000000000000001</v>
      </c>
      <c r="L25" s="6">
        <f t="shared" si="3"/>
        <v>4.9000000000000004</v>
      </c>
      <c r="M25" s="6">
        <f t="shared" si="4"/>
        <v>3.1</v>
      </c>
      <c r="N25" s="6">
        <f t="shared" si="5"/>
        <v>1.5</v>
      </c>
      <c r="O25" s="6">
        <f t="shared" si="6"/>
        <v>1.4</v>
      </c>
      <c r="P25" s="8">
        <f t="shared" si="7"/>
        <v>0.39660229656409718</v>
      </c>
      <c r="Q25" s="6"/>
      <c r="R25" s="6"/>
      <c r="S25" s="6"/>
      <c r="T25" s="6"/>
      <c r="U25" s="6"/>
      <c r="V25" s="1"/>
    </row>
    <row r="26" spans="1:22" x14ac:dyDescent="0.3">
      <c r="A26" s="2"/>
      <c r="B26" s="6"/>
      <c r="C26" s="6"/>
      <c r="D26" s="6"/>
      <c r="E26" s="6"/>
      <c r="F26" s="6"/>
      <c r="G26" s="1"/>
      <c r="J26" s="2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1"/>
    </row>
    <row r="27" spans="1:22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2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2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2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2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2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2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2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2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2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2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2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2" x14ac:dyDescent="0.3">
      <c r="A42" s="26" t="s">
        <v>5</v>
      </c>
      <c r="B42" s="27"/>
      <c r="C42" s="27"/>
      <c r="D42" s="27"/>
      <c r="E42" s="27"/>
      <c r="F42" s="27"/>
      <c r="G42" s="28"/>
      <c r="J42" s="26" t="s">
        <v>12</v>
      </c>
      <c r="K42" s="27"/>
      <c r="L42" s="27"/>
      <c r="M42" s="27"/>
      <c r="N42" s="27"/>
      <c r="O42" s="27"/>
      <c r="P42" s="27"/>
      <c r="Q42" s="27"/>
      <c r="R42" s="28"/>
    </row>
    <row r="43" spans="1:22" x14ac:dyDescent="0.3">
      <c r="A43" s="29"/>
      <c r="B43" s="30"/>
      <c r="C43" s="30"/>
      <c r="D43" s="30"/>
      <c r="E43" s="30"/>
      <c r="F43" s="30"/>
      <c r="G43" s="31"/>
      <c r="J43" s="29"/>
      <c r="K43" s="30"/>
      <c r="L43" s="30"/>
      <c r="M43" s="30"/>
      <c r="N43" s="30"/>
      <c r="O43" s="30"/>
      <c r="P43" s="30"/>
      <c r="Q43" s="30"/>
      <c r="R43" s="31"/>
    </row>
    <row r="44" spans="1:22" x14ac:dyDescent="0.3">
      <c r="A44" s="32" t="s">
        <v>26</v>
      </c>
      <c r="B44" s="33"/>
      <c r="C44" s="33"/>
      <c r="D44" s="33"/>
      <c r="E44" s="33"/>
      <c r="F44" s="33"/>
      <c r="G44" s="34"/>
      <c r="J44" s="32" t="s">
        <v>27</v>
      </c>
      <c r="K44" s="33"/>
      <c r="L44" s="33"/>
      <c r="M44" s="33"/>
      <c r="N44" s="33"/>
      <c r="O44" s="33"/>
      <c r="P44" s="33"/>
      <c r="Q44" s="33"/>
      <c r="R44" s="34"/>
    </row>
    <row r="45" spans="1:22" x14ac:dyDescent="0.3">
      <c r="A45" s="32"/>
      <c r="B45" s="33"/>
      <c r="C45" s="33"/>
      <c r="D45" s="33"/>
      <c r="E45" s="33"/>
      <c r="F45" s="33"/>
      <c r="G45" s="34"/>
      <c r="J45" s="32"/>
      <c r="K45" s="33"/>
      <c r="L45" s="33"/>
      <c r="M45" s="33"/>
      <c r="N45" s="33"/>
      <c r="O45" s="33"/>
      <c r="P45" s="33"/>
      <c r="Q45" s="33"/>
      <c r="R45" s="34"/>
    </row>
    <row r="46" spans="1:22" x14ac:dyDescent="0.3">
      <c r="A46" s="23" t="s">
        <v>15</v>
      </c>
      <c r="B46" s="24" t="s">
        <v>2</v>
      </c>
      <c r="C46" s="24" t="s">
        <v>8</v>
      </c>
      <c r="D46" s="24" t="s">
        <v>23</v>
      </c>
      <c r="E46" s="24"/>
      <c r="F46" s="21" t="s">
        <v>21</v>
      </c>
      <c r="G46" s="22" t="s">
        <v>1</v>
      </c>
      <c r="J46" s="23" t="s">
        <v>15</v>
      </c>
      <c r="K46" s="24" t="s">
        <v>2</v>
      </c>
      <c r="L46" s="6" t="s">
        <v>24</v>
      </c>
      <c r="M46" s="24" t="s">
        <v>8</v>
      </c>
      <c r="N46" s="25" t="s">
        <v>23</v>
      </c>
      <c r="O46" s="24" t="s">
        <v>25</v>
      </c>
      <c r="P46" s="6"/>
      <c r="Q46" s="21" t="s">
        <v>21</v>
      </c>
      <c r="R46" s="22" t="s">
        <v>1</v>
      </c>
    </row>
    <row r="47" spans="1:22" x14ac:dyDescent="0.3">
      <c r="A47" s="2">
        <v>1</v>
      </c>
      <c r="B47" s="10">
        <v>1</v>
      </c>
      <c r="C47" s="6"/>
      <c r="D47" s="6"/>
      <c r="E47" s="6"/>
      <c r="F47" s="13">
        <f t="array" ref="F47:G47">LINEST(B48:B56,C48:C56,TRUE,TRUE)</f>
        <v>3.3477321814254821E-2</v>
      </c>
      <c r="G47" s="14">
        <v>6.2807775377969763</v>
      </c>
      <c r="J47" s="2">
        <v>1</v>
      </c>
      <c r="K47" s="10">
        <v>1</v>
      </c>
      <c r="L47" s="6"/>
      <c r="M47" s="6"/>
      <c r="N47" s="6"/>
      <c r="O47" s="6"/>
      <c r="P47" s="6"/>
      <c r="Q47" s="13">
        <f t="array" ref="Q47:R47">LINEST(L49:L57,M49:M57,TRUE,TRUE)</f>
        <v>-1.0571909167367537</v>
      </c>
      <c r="R47" s="14">
        <v>-2.3111858704793948</v>
      </c>
    </row>
    <row r="48" spans="1:22" x14ac:dyDescent="0.3">
      <c r="A48" s="2">
        <v>2</v>
      </c>
      <c r="B48" s="15">
        <v>3</v>
      </c>
      <c r="C48" s="13">
        <f>B47</f>
        <v>1</v>
      </c>
      <c r="D48" s="6"/>
      <c r="E48" s="6"/>
      <c r="F48" s="6"/>
      <c r="G48" s="1"/>
      <c r="J48" s="2">
        <v>2</v>
      </c>
      <c r="K48" s="6">
        <v>3</v>
      </c>
      <c r="L48" s="6">
        <f>K47-K48</f>
        <v>-2</v>
      </c>
      <c r="M48" s="6"/>
      <c r="N48" s="6"/>
      <c r="O48" s="6"/>
      <c r="P48" s="6"/>
      <c r="Q48" s="6"/>
      <c r="R48" s="1"/>
    </row>
    <row r="49" spans="1:18" x14ac:dyDescent="0.3">
      <c r="A49" s="2">
        <v>3</v>
      </c>
      <c r="B49" s="15">
        <v>2</v>
      </c>
      <c r="C49" s="13">
        <f t="shared" ref="C49:C66" si="8">B48</f>
        <v>3</v>
      </c>
      <c r="D49" s="6"/>
      <c r="E49" s="6"/>
      <c r="F49" s="6"/>
      <c r="G49" s="1"/>
      <c r="J49" s="2">
        <v>3</v>
      </c>
      <c r="K49" s="6">
        <v>2</v>
      </c>
      <c r="L49" s="13">
        <f t="shared" ref="L49:L66" si="9">K48-K49</f>
        <v>1</v>
      </c>
      <c r="M49" s="13">
        <f>L48</f>
        <v>-2</v>
      </c>
      <c r="N49" s="6"/>
      <c r="O49" s="6"/>
      <c r="P49" s="6"/>
      <c r="Q49" s="6"/>
      <c r="R49" s="1"/>
    </row>
    <row r="50" spans="1:18" x14ac:dyDescent="0.3">
      <c r="A50" s="2">
        <v>4</v>
      </c>
      <c r="B50" s="15">
        <v>5</v>
      </c>
      <c r="C50" s="13">
        <f t="shared" si="8"/>
        <v>2</v>
      </c>
      <c r="D50" s="6"/>
      <c r="E50" s="6"/>
      <c r="F50" s="6"/>
      <c r="G50" s="1"/>
      <c r="J50" s="2">
        <v>4</v>
      </c>
      <c r="K50" s="6">
        <v>5</v>
      </c>
      <c r="L50" s="13">
        <f t="shared" si="9"/>
        <v>-3</v>
      </c>
      <c r="M50" s="13">
        <f t="shared" ref="M50:M66" si="10">L49</f>
        <v>1</v>
      </c>
      <c r="N50" s="6"/>
      <c r="O50" s="6"/>
      <c r="P50" s="6"/>
      <c r="Q50" s="6"/>
      <c r="R50" s="1"/>
    </row>
    <row r="51" spans="1:18" x14ac:dyDescent="0.3">
      <c r="A51" s="2">
        <v>5</v>
      </c>
      <c r="B51" s="15">
        <v>2</v>
      </c>
      <c r="C51" s="13">
        <f t="shared" si="8"/>
        <v>5</v>
      </c>
      <c r="D51" s="6"/>
      <c r="E51" s="6"/>
      <c r="F51" s="6"/>
      <c r="G51" s="1"/>
      <c r="J51" s="2">
        <v>5</v>
      </c>
      <c r="K51" s="6">
        <v>2</v>
      </c>
      <c r="L51" s="13">
        <f t="shared" si="9"/>
        <v>3</v>
      </c>
      <c r="M51" s="13">
        <f t="shared" si="10"/>
        <v>-3</v>
      </c>
      <c r="N51" s="6"/>
      <c r="O51" s="6"/>
      <c r="P51" s="6"/>
      <c r="Q51" s="6"/>
      <c r="R51" s="1"/>
    </row>
    <row r="52" spans="1:18" x14ac:dyDescent="0.3">
      <c r="A52" s="2">
        <v>6</v>
      </c>
      <c r="B52" s="15">
        <v>9</v>
      </c>
      <c r="C52" s="13">
        <f t="shared" si="8"/>
        <v>2</v>
      </c>
      <c r="D52" s="6"/>
      <c r="E52" s="6"/>
      <c r="F52" s="6"/>
      <c r="G52" s="1"/>
      <c r="J52" s="2">
        <v>6</v>
      </c>
      <c r="K52" s="6">
        <v>9</v>
      </c>
      <c r="L52" s="13">
        <f t="shared" si="9"/>
        <v>-7</v>
      </c>
      <c r="M52" s="13">
        <f t="shared" si="10"/>
        <v>3</v>
      </c>
      <c r="N52" s="6"/>
      <c r="O52" s="6"/>
      <c r="P52" s="6"/>
      <c r="Q52" s="6"/>
      <c r="R52" s="1"/>
    </row>
    <row r="53" spans="1:18" x14ac:dyDescent="0.3">
      <c r="A53" s="2">
        <v>7</v>
      </c>
      <c r="B53" s="15">
        <v>5</v>
      </c>
      <c r="C53" s="13">
        <f t="shared" si="8"/>
        <v>9</v>
      </c>
      <c r="D53" s="6"/>
      <c r="E53" s="6"/>
      <c r="F53" s="6"/>
      <c r="G53" s="1"/>
      <c r="J53" s="2">
        <v>7</v>
      </c>
      <c r="K53" s="6">
        <v>5</v>
      </c>
      <c r="L53" s="13">
        <f t="shared" si="9"/>
        <v>4</v>
      </c>
      <c r="M53" s="13">
        <f t="shared" si="10"/>
        <v>-7</v>
      </c>
      <c r="N53" s="6"/>
      <c r="O53" s="6"/>
      <c r="P53" s="6"/>
      <c r="Q53" s="6"/>
      <c r="R53" s="1"/>
    </row>
    <row r="54" spans="1:18" x14ac:dyDescent="0.3">
      <c r="A54" s="2">
        <v>8</v>
      </c>
      <c r="B54" s="15">
        <v>12</v>
      </c>
      <c r="C54" s="13">
        <f t="shared" si="8"/>
        <v>5</v>
      </c>
      <c r="D54" s="6"/>
      <c r="E54" s="6"/>
      <c r="F54" s="6"/>
      <c r="G54" s="1"/>
      <c r="J54" s="2">
        <v>8</v>
      </c>
      <c r="K54" s="6">
        <v>12</v>
      </c>
      <c r="L54" s="13">
        <f t="shared" si="9"/>
        <v>-7</v>
      </c>
      <c r="M54" s="13">
        <f t="shared" si="10"/>
        <v>4</v>
      </c>
      <c r="N54" s="6"/>
      <c r="O54" s="6"/>
      <c r="P54" s="6"/>
      <c r="Q54" s="6"/>
      <c r="R54" s="1"/>
    </row>
    <row r="55" spans="1:18" x14ac:dyDescent="0.3">
      <c r="A55" s="2">
        <v>9</v>
      </c>
      <c r="B55" s="15">
        <v>5</v>
      </c>
      <c r="C55" s="13">
        <f t="shared" si="8"/>
        <v>12</v>
      </c>
      <c r="D55" s="6"/>
      <c r="E55" s="6"/>
      <c r="F55" s="6"/>
      <c r="G55" s="1"/>
      <c r="J55" s="2">
        <v>9</v>
      </c>
      <c r="K55" s="6">
        <v>5</v>
      </c>
      <c r="L55" s="13">
        <f t="shared" si="9"/>
        <v>7</v>
      </c>
      <c r="M55" s="13">
        <f t="shared" si="10"/>
        <v>-7</v>
      </c>
      <c r="N55" s="6"/>
      <c r="O55" s="6"/>
      <c r="P55" s="6"/>
      <c r="Q55" s="6"/>
      <c r="R55" s="1"/>
    </row>
    <row r="56" spans="1:18" x14ac:dyDescent="0.3">
      <c r="A56" s="2">
        <v>10</v>
      </c>
      <c r="B56" s="15">
        <v>15</v>
      </c>
      <c r="C56" s="13">
        <f t="shared" si="8"/>
        <v>5</v>
      </c>
      <c r="D56" s="6"/>
      <c r="E56" s="6"/>
      <c r="F56" s="6"/>
      <c r="G56" s="1"/>
      <c r="J56" s="2">
        <v>10</v>
      </c>
      <c r="K56" s="6">
        <v>15</v>
      </c>
      <c r="L56" s="13">
        <f t="shared" si="9"/>
        <v>-10</v>
      </c>
      <c r="M56" s="13">
        <f t="shared" si="10"/>
        <v>7</v>
      </c>
      <c r="N56" s="6"/>
      <c r="O56" s="6"/>
      <c r="P56" s="6"/>
      <c r="Q56" s="6"/>
      <c r="R56" s="1"/>
    </row>
    <row r="57" spans="1:18" x14ac:dyDescent="0.3">
      <c r="A57" s="2">
        <v>11</v>
      </c>
      <c r="B57" s="11">
        <v>9</v>
      </c>
      <c r="C57" s="6">
        <f t="shared" si="8"/>
        <v>15</v>
      </c>
      <c r="D57" s="8">
        <f>$G$47+$F$47*C57</f>
        <v>6.7829373650107989</v>
      </c>
      <c r="E57" s="9" t="s">
        <v>14</v>
      </c>
      <c r="F57" s="6"/>
      <c r="G57" s="1"/>
      <c r="J57" s="2">
        <v>11</v>
      </c>
      <c r="K57" s="6">
        <v>9</v>
      </c>
      <c r="L57" s="13">
        <f t="shared" si="9"/>
        <v>6</v>
      </c>
      <c r="M57" s="13">
        <f t="shared" si="10"/>
        <v>-10</v>
      </c>
      <c r="N57" s="6"/>
      <c r="O57" s="6"/>
      <c r="P57" s="6"/>
      <c r="Q57" s="6"/>
      <c r="R57" s="1"/>
    </row>
    <row r="58" spans="1:18" x14ac:dyDescent="0.3">
      <c r="A58" s="2">
        <v>12</v>
      </c>
      <c r="B58" s="11">
        <v>16</v>
      </c>
      <c r="C58" s="6">
        <f t="shared" si="8"/>
        <v>9</v>
      </c>
      <c r="D58" s="8">
        <f t="shared" ref="D58:D66" si="11">$G$47+$F$47*C58</f>
        <v>6.5820734341252694</v>
      </c>
      <c r="E58" s="6"/>
      <c r="F58" s="6"/>
      <c r="G58" s="1"/>
      <c r="J58" s="2">
        <v>12</v>
      </c>
      <c r="K58" s="11">
        <v>16</v>
      </c>
      <c r="L58" s="6">
        <f t="shared" si="9"/>
        <v>-7</v>
      </c>
      <c r="M58" s="6">
        <f t="shared" si="10"/>
        <v>6</v>
      </c>
      <c r="N58" s="6">
        <f t="shared" ref="N58:N66" si="12">$R$47+$Q$47*M58</f>
        <v>-8.6543313708999179</v>
      </c>
      <c r="O58" s="8">
        <f t="shared" ref="O58:O66" si="13">K58+N59</f>
        <v>21.089150546677882</v>
      </c>
      <c r="P58" s="9" t="s">
        <v>14</v>
      </c>
      <c r="Q58" s="6"/>
      <c r="R58" s="1"/>
    </row>
    <row r="59" spans="1:18" x14ac:dyDescent="0.3">
      <c r="A59" s="2">
        <v>13</v>
      </c>
      <c r="B59" s="11">
        <v>7</v>
      </c>
      <c r="C59" s="6">
        <f t="shared" si="8"/>
        <v>16</v>
      </c>
      <c r="D59" s="8">
        <f t="shared" si="11"/>
        <v>6.8164146868250537</v>
      </c>
      <c r="E59" s="6"/>
      <c r="F59" s="6"/>
      <c r="G59" s="1"/>
      <c r="J59" s="2">
        <v>13</v>
      </c>
      <c r="K59" s="11">
        <v>7</v>
      </c>
      <c r="L59" s="6">
        <f t="shared" si="9"/>
        <v>9</v>
      </c>
      <c r="M59" s="6">
        <f t="shared" si="10"/>
        <v>-7</v>
      </c>
      <c r="N59" s="6">
        <f t="shared" si="12"/>
        <v>5.0891505466778817</v>
      </c>
      <c r="O59" s="8">
        <f t="shared" si="13"/>
        <v>-4.8259041211101792</v>
      </c>
      <c r="P59" s="6"/>
      <c r="Q59" s="6"/>
      <c r="R59" s="1"/>
    </row>
    <row r="60" spans="1:18" x14ac:dyDescent="0.3">
      <c r="A60" s="2">
        <v>14</v>
      </c>
      <c r="B60" s="11">
        <v>14</v>
      </c>
      <c r="C60" s="6">
        <f t="shared" si="8"/>
        <v>7</v>
      </c>
      <c r="D60" s="8">
        <f t="shared" si="11"/>
        <v>6.5151187904967598</v>
      </c>
      <c r="E60" s="6"/>
      <c r="F60" s="6"/>
      <c r="G60" s="1"/>
      <c r="J60" s="2">
        <v>14</v>
      </c>
      <c r="K60" s="11">
        <v>14</v>
      </c>
      <c r="L60" s="6">
        <f t="shared" si="9"/>
        <v>-7</v>
      </c>
      <c r="M60" s="6">
        <f t="shared" si="10"/>
        <v>9</v>
      </c>
      <c r="N60" s="6">
        <f t="shared" si="12"/>
        <v>-11.825904121110179</v>
      </c>
      <c r="O60" s="8">
        <f t="shared" si="13"/>
        <v>19.089150546677882</v>
      </c>
      <c r="P60" s="6"/>
      <c r="Q60" s="6"/>
      <c r="R60" s="1"/>
    </row>
    <row r="61" spans="1:18" x14ac:dyDescent="0.3">
      <c r="A61" s="2">
        <v>15</v>
      </c>
      <c r="B61" s="11">
        <v>8</v>
      </c>
      <c r="C61" s="6">
        <f t="shared" si="8"/>
        <v>14</v>
      </c>
      <c r="D61" s="8">
        <f t="shared" si="11"/>
        <v>6.7494600431965441</v>
      </c>
      <c r="E61" s="6"/>
      <c r="F61" s="6"/>
      <c r="G61" s="1"/>
      <c r="J61" s="2">
        <v>15</v>
      </c>
      <c r="K61" s="11">
        <v>8</v>
      </c>
      <c r="L61" s="6">
        <f t="shared" si="9"/>
        <v>6</v>
      </c>
      <c r="M61" s="6">
        <f t="shared" si="10"/>
        <v>-7</v>
      </c>
      <c r="N61" s="6">
        <f t="shared" si="12"/>
        <v>5.0891505466778817</v>
      </c>
      <c r="O61" s="8">
        <f t="shared" si="13"/>
        <v>-0.65433137089991789</v>
      </c>
      <c r="P61" s="6"/>
      <c r="Q61" s="6"/>
      <c r="R61" s="1"/>
    </row>
    <row r="62" spans="1:18" x14ac:dyDescent="0.3">
      <c r="A62" s="2">
        <v>16</v>
      </c>
      <c r="B62" s="11">
        <v>16</v>
      </c>
      <c r="C62" s="6">
        <f t="shared" si="8"/>
        <v>8</v>
      </c>
      <c r="D62" s="8">
        <f t="shared" si="11"/>
        <v>6.5485961123110146</v>
      </c>
      <c r="E62" s="6"/>
      <c r="F62" s="6"/>
      <c r="G62" s="1"/>
      <c r="J62" s="2">
        <v>16</v>
      </c>
      <c r="K62" s="11">
        <v>16</v>
      </c>
      <c r="L62" s="6">
        <f t="shared" si="9"/>
        <v>-8</v>
      </c>
      <c r="M62" s="6">
        <f t="shared" si="10"/>
        <v>6</v>
      </c>
      <c r="N62" s="6">
        <f t="shared" si="12"/>
        <v>-8.6543313708999179</v>
      </c>
      <c r="O62" s="8">
        <f t="shared" si="13"/>
        <v>22.146341463414636</v>
      </c>
      <c r="P62" s="6"/>
      <c r="Q62" s="6"/>
      <c r="R62" s="1"/>
    </row>
    <row r="63" spans="1:18" x14ac:dyDescent="0.3">
      <c r="A63" s="2">
        <v>17</v>
      </c>
      <c r="B63" s="11">
        <v>6</v>
      </c>
      <c r="C63" s="6">
        <f t="shared" si="8"/>
        <v>16</v>
      </c>
      <c r="D63" s="8">
        <f t="shared" si="11"/>
        <v>6.8164146868250537</v>
      </c>
      <c r="E63" s="6"/>
      <c r="F63" s="6"/>
      <c r="G63" s="1"/>
      <c r="J63" s="2">
        <v>17</v>
      </c>
      <c r="K63" s="11">
        <v>6</v>
      </c>
      <c r="L63" s="6">
        <f t="shared" si="9"/>
        <v>10</v>
      </c>
      <c r="M63" s="6">
        <f t="shared" si="10"/>
        <v>-8</v>
      </c>
      <c r="N63" s="6">
        <f t="shared" si="12"/>
        <v>6.1463414634146343</v>
      </c>
      <c r="O63" s="8">
        <f t="shared" si="13"/>
        <v>-6.8830950378469318</v>
      </c>
      <c r="P63" s="6"/>
      <c r="Q63" s="6"/>
      <c r="R63" s="1"/>
    </row>
    <row r="64" spans="1:18" x14ac:dyDescent="0.3">
      <c r="A64" s="2">
        <v>18</v>
      </c>
      <c r="B64" s="11">
        <v>15</v>
      </c>
      <c r="C64" s="6">
        <f t="shared" si="8"/>
        <v>6</v>
      </c>
      <c r="D64" s="8">
        <f t="shared" si="11"/>
        <v>6.481641468682505</v>
      </c>
      <c r="E64" s="6"/>
      <c r="F64" s="6"/>
      <c r="G64" s="1"/>
      <c r="J64" s="2">
        <v>18</v>
      </c>
      <c r="K64" s="11">
        <v>15</v>
      </c>
      <c r="L64" s="6">
        <f t="shared" si="9"/>
        <v>-9</v>
      </c>
      <c r="M64" s="6">
        <f t="shared" si="10"/>
        <v>10</v>
      </c>
      <c r="N64" s="6">
        <f t="shared" si="12"/>
        <v>-12.883095037846932</v>
      </c>
      <c r="O64" s="8">
        <f t="shared" si="13"/>
        <v>22.203532380151387</v>
      </c>
      <c r="P64" s="6"/>
      <c r="Q64" s="6"/>
      <c r="R64" s="1"/>
    </row>
    <row r="65" spans="1:18" x14ac:dyDescent="0.3">
      <c r="A65" s="2">
        <v>19</v>
      </c>
      <c r="B65" s="11">
        <v>4</v>
      </c>
      <c r="C65" s="6">
        <f t="shared" si="8"/>
        <v>15</v>
      </c>
      <c r="D65" s="8">
        <f t="shared" si="11"/>
        <v>6.7829373650107989</v>
      </c>
      <c r="E65" s="6"/>
      <c r="F65" s="6"/>
      <c r="G65" s="1"/>
      <c r="J65" s="2">
        <v>19</v>
      </c>
      <c r="K65" s="11">
        <v>4</v>
      </c>
      <c r="L65" s="6">
        <f t="shared" si="9"/>
        <v>11</v>
      </c>
      <c r="M65" s="6">
        <f t="shared" si="10"/>
        <v>-9</v>
      </c>
      <c r="N65" s="6">
        <f t="shared" si="12"/>
        <v>7.2035323801513886</v>
      </c>
      <c r="O65" s="8">
        <f t="shared" si="13"/>
        <v>-9.9402859545836861</v>
      </c>
      <c r="P65" s="6"/>
      <c r="Q65" s="6"/>
      <c r="R65" s="1"/>
    </row>
    <row r="66" spans="1:18" x14ac:dyDescent="0.3">
      <c r="A66" s="2">
        <v>20</v>
      </c>
      <c r="B66" s="11">
        <v>19</v>
      </c>
      <c r="C66" s="6">
        <f t="shared" si="8"/>
        <v>4</v>
      </c>
      <c r="D66" s="8">
        <f t="shared" si="11"/>
        <v>6.4146868250539955</v>
      </c>
      <c r="E66" s="6"/>
      <c r="F66" s="6"/>
      <c r="G66" s="1"/>
      <c r="J66" s="2">
        <v>20</v>
      </c>
      <c r="K66" s="11">
        <v>19</v>
      </c>
      <c r="L66" s="6">
        <f t="shared" si="9"/>
        <v>-15</v>
      </c>
      <c r="M66" s="6">
        <f t="shared" si="10"/>
        <v>11</v>
      </c>
      <c r="N66" s="6">
        <f t="shared" si="12"/>
        <v>-13.940285954583686</v>
      </c>
      <c r="O66" s="8">
        <f t="shared" si="13"/>
        <v>19</v>
      </c>
      <c r="P66" s="6"/>
      <c r="Q66" s="6"/>
      <c r="R66" s="1"/>
    </row>
    <row r="67" spans="1:18" x14ac:dyDescent="0.3">
      <c r="A67" s="2"/>
      <c r="B67" s="6"/>
      <c r="C67" s="6"/>
      <c r="D67" s="6"/>
      <c r="E67" s="6"/>
      <c r="F67" s="6"/>
      <c r="G67" s="1"/>
      <c r="J67" s="2"/>
      <c r="K67" s="6"/>
      <c r="L67" s="6"/>
      <c r="M67" s="6"/>
      <c r="N67" s="6"/>
      <c r="O67" s="6"/>
      <c r="P67" s="6"/>
      <c r="Q67" s="6"/>
      <c r="R67" s="1"/>
    </row>
    <row r="68" spans="1:18" x14ac:dyDescent="0.3">
      <c r="A68" s="2"/>
      <c r="B68" s="6"/>
      <c r="C68" s="6"/>
      <c r="D68" s="6"/>
      <c r="E68" s="6"/>
      <c r="F68" s="6"/>
      <c r="G68" s="1"/>
      <c r="J68" s="2"/>
      <c r="K68" s="6"/>
      <c r="L68" s="6"/>
      <c r="M68" s="6"/>
      <c r="N68" s="6"/>
      <c r="O68" s="6"/>
      <c r="P68" s="6"/>
      <c r="Q68" s="6"/>
      <c r="R68" s="1"/>
    </row>
    <row r="69" spans="1:18" x14ac:dyDescent="0.3">
      <c r="A69" s="2"/>
      <c r="B69" s="6"/>
      <c r="C69" s="6"/>
      <c r="D69" s="6"/>
      <c r="E69" s="6"/>
      <c r="F69" s="6"/>
      <c r="G69" s="1"/>
      <c r="J69" s="2"/>
      <c r="K69" s="6"/>
      <c r="L69" s="6"/>
      <c r="M69" s="6"/>
      <c r="N69" s="6"/>
      <c r="O69" s="6"/>
      <c r="P69" s="6"/>
      <c r="Q69" s="6"/>
      <c r="R69" s="1"/>
    </row>
    <row r="70" spans="1:18" x14ac:dyDescent="0.3">
      <c r="A70" s="2"/>
      <c r="B70" s="6"/>
      <c r="C70" s="6"/>
      <c r="D70" s="6"/>
      <c r="E70" s="6"/>
      <c r="F70" s="6"/>
      <c r="G70" s="1"/>
      <c r="J70" s="2"/>
      <c r="K70" s="6"/>
      <c r="L70" s="6"/>
      <c r="M70" s="6"/>
      <c r="N70" s="6"/>
      <c r="O70" s="6"/>
      <c r="P70" s="6"/>
      <c r="Q70" s="6"/>
      <c r="R70" s="1"/>
    </row>
    <row r="71" spans="1:18" x14ac:dyDescent="0.3">
      <c r="A71" s="2"/>
      <c r="B71" s="6"/>
      <c r="C71" s="6"/>
      <c r="D71" s="6"/>
      <c r="E71" s="6"/>
      <c r="F71" s="6"/>
      <c r="G71" s="1"/>
      <c r="J71" s="2"/>
      <c r="K71" s="6"/>
      <c r="L71" s="6"/>
      <c r="M71" s="6"/>
      <c r="N71" s="6"/>
      <c r="O71" s="6"/>
      <c r="P71" s="6"/>
      <c r="Q71" s="6"/>
      <c r="R71" s="1"/>
    </row>
    <row r="72" spans="1:18" x14ac:dyDescent="0.3">
      <c r="A72" s="2"/>
      <c r="B72" s="6"/>
      <c r="C72" s="6"/>
      <c r="D72" s="6"/>
      <c r="E72" s="6"/>
      <c r="F72" s="6"/>
      <c r="G72" s="1"/>
      <c r="J72" s="2"/>
      <c r="K72" s="6"/>
      <c r="L72" s="6"/>
      <c r="M72" s="6"/>
      <c r="N72" s="6"/>
      <c r="O72" s="6"/>
      <c r="P72" s="6"/>
      <c r="Q72" s="6"/>
      <c r="R72" s="1"/>
    </row>
    <row r="73" spans="1:18" x14ac:dyDescent="0.3">
      <c r="A73" s="2"/>
      <c r="B73" s="6"/>
      <c r="C73" s="6"/>
      <c r="D73" s="6"/>
      <c r="E73" s="6"/>
      <c r="F73" s="6"/>
      <c r="G73" s="1"/>
      <c r="J73" s="2"/>
      <c r="K73" s="6"/>
      <c r="L73" s="6"/>
      <c r="M73" s="6"/>
      <c r="N73" s="6"/>
      <c r="O73" s="6"/>
      <c r="P73" s="6"/>
      <c r="Q73" s="6"/>
      <c r="R73" s="1"/>
    </row>
    <row r="74" spans="1:18" x14ac:dyDescent="0.3">
      <c r="A74" s="2"/>
      <c r="B74" s="6"/>
      <c r="C74" s="6"/>
      <c r="D74" s="6"/>
      <c r="E74" s="6"/>
      <c r="F74" s="6"/>
      <c r="G74" s="1"/>
      <c r="J74" s="2"/>
      <c r="K74" s="6"/>
      <c r="L74" s="6"/>
      <c r="M74" s="6"/>
      <c r="N74" s="6"/>
      <c r="O74" s="6"/>
      <c r="P74" s="6"/>
      <c r="Q74" s="6"/>
      <c r="R74" s="1"/>
    </row>
    <row r="75" spans="1:18" x14ac:dyDescent="0.3">
      <c r="A75" s="2"/>
      <c r="B75" s="6"/>
      <c r="C75" s="6"/>
      <c r="D75" s="6"/>
      <c r="E75" s="6"/>
      <c r="F75" s="6"/>
      <c r="G75" s="1"/>
      <c r="J75" s="2"/>
      <c r="K75" s="6"/>
      <c r="L75" s="6"/>
      <c r="M75" s="6"/>
      <c r="N75" s="6"/>
      <c r="O75" s="6"/>
      <c r="P75" s="6"/>
      <c r="Q75" s="6"/>
      <c r="R75" s="1"/>
    </row>
    <row r="76" spans="1:18" x14ac:dyDescent="0.3">
      <c r="A76" s="2"/>
      <c r="B76" s="6"/>
      <c r="C76" s="6"/>
      <c r="D76" s="6"/>
      <c r="E76" s="6"/>
      <c r="F76" s="6"/>
      <c r="G76" s="1"/>
      <c r="J76" s="2"/>
      <c r="K76" s="6"/>
      <c r="L76" s="6"/>
      <c r="M76" s="6"/>
      <c r="N76" s="6"/>
      <c r="O76" s="6"/>
      <c r="P76" s="6"/>
      <c r="Q76" s="6"/>
      <c r="R76" s="1"/>
    </row>
    <row r="77" spans="1:18" x14ac:dyDescent="0.3">
      <c r="A77" s="2"/>
      <c r="B77" s="6"/>
      <c r="C77" s="6"/>
      <c r="D77" s="6"/>
      <c r="E77" s="6"/>
      <c r="F77" s="6"/>
      <c r="G77" s="1"/>
      <c r="J77" s="2"/>
      <c r="K77" s="6"/>
      <c r="L77" s="6"/>
      <c r="M77" s="6"/>
      <c r="N77" s="6"/>
      <c r="O77" s="6"/>
      <c r="P77" s="6"/>
      <c r="Q77" s="6"/>
      <c r="R77" s="1"/>
    </row>
    <row r="78" spans="1:18" x14ac:dyDescent="0.3">
      <c r="A78" s="2"/>
      <c r="B78" s="6"/>
      <c r="C78" s="6"/>
      <c r="D78" s="6"/>
      <c r="E78" s="6"/>
      <c r="F78" s="6"/>
      <c r="G78" s="1"/>
      <c r="J78" s="2"/>
      <c r="K78" s="6"/>
      <c r="L78" s="6"/>
      <c r="M78" s="6"/>
      <c r="N78" s="6"/>
      <c r="O78" s="6"/>
      <c r="P78" s="6"/>
      <c r="Q78" s="6"/>
      <c r="R78" s="1"/>
    </row>
    <row r="79" spans="1:18" x14ac:dyDescent="0.3">
      <c r="A79" s="5"/>
      <c r="B79" s="3"/>
      <c r="C79" s="3"/>
      <c r="D79" s="3"/>
      <c r="E79" s="3"/>
      <c r="F79" s="3"/>
      <c r="G79" s="4"/>
      <c r="J79" s="5"/>
      <c r="K79" s="3"/>
      <c r="L79" s="3"/>
      <c r="M79" s="3"/>
      <c r="N79" s="3"/>
      <c r="O79" s="3"/>
      <c r="P79" s="3"/>
      <c r="Q79" s="3"/>
      <c r="R79" s="4"/>
    </row>
  </sheetData>
  <mergeCells count="9">
    <mergeCell ref="A42:G43"/>
    <mergeCell ref="A44:G45"/>
    <mergeCell ref="J42:R43"/>
    <mergeCell ref="J44:R45"/>
    <mergeCell ref="A1:G2"/>
    <mergeCell ref="A3:G4"/>
    <mergeCell ref="E7:G8"/>
    <mergeCell ref="J1:V2"/>
    <mergeCell ref="J3:V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3792B-692B-48E4-A115-2B9AF45F557A}">
  <sheetPr codeName="Sheet2"/>
  <dimension ref="A1:J38"/>
  <sheetViews>
    <sheetView workbookViewId="0">
      <selection activeCell="K12" sqref="K12"/>
    </sheetView>
  </sheetViews>
  <sheetFormatPr defaultRowHeight="16.5" x14ac:dyDescent="0.3"/>
  <sheetData>
    <row r="1" spans="1:9" x14ac:dyDescent="0.3">
      <c r="A1" s="26" t="s">
        <v>7</v>
      </c>
      <c r="B1" s="27"/>
      <c r="C1" s="27"/>
      <c r="D1" s="27"/>
      <c r="E1" s="27"/>
      <c r="F1" s="27"/>
      <c r="G1" s="27"/>
      <c r="H1" s="27"/>
      <c r="I1" s="28"/>
    </row>
    <row r="2" spans="1:9" x14ac:dyDescent="0.3">
      <c r="A2" s="29"/>
      <c r="B2" s="30"/>
      <c r="C2" s="30"/>
      <c r="D2" s="30"/>
      <c r="E2" s="30"/>
      <c r="F2" s="30"/>
      <c r="G2" s="30"/>
      <c r="H2" s="30"/>
      <c r="I2" s="31"/>
    </row>
    <row r="3" spans="1:9" x14ac:dyDescent="0.3">
      <c r="A3" s="32" t="s">
        <v>27</v>
      </c>
      <c r="B3" s="33"/>
      <c r="C3" s="33"/>
      <c r="D3" s="33"/>
      <c r="E3" s="33"/>
      <c r="F3" s="33"/>
      <c r="G3" s="33"/>
      <c r="H3" s="33"/>
      <c r="I3" s="34"/>
    </row>
    <row r="4" spans="1:9" x14ac:dyDescent="0.3">
      <c r="A4" s="32"/>
      <c r="B4" s="33"/>
      <c r="C4" s="33"/>
      <c r="D4" s="33"/>
      <c r="E4" s="33"/>
      <c r="F4" s="33"/>
      <c r="G4" s="33"/>
      <c r="H4" s="33"/>
      <c r="I4" s="34"/>
    </row>
    <row r="5" spans="1:9" x14ac:dyDescent="0.3">
      <c r="A5" s="23" t="s">
        <v>15</v>
      </c>
      <c r="B5" s="24" t="s">
        <v>2</v>
      </c>
      <c r="C5" s="6" t="s">
        <v>24</v>
      </c>
      <c r="D5" s="24" t="s">
        <v>8</v>
      </c>
      <c r="E5" s="25" t="s">
        <v>23</v>
      </c>
      <c r="F5" s="24"/>
      <c r="G5" s="6"/>
      <c r="H5" s="21" t="s">
        <v>21</v>
      </c>
      <c r="I5" s="22" t="s">
        <v>1</v>
      </c>
    </row>
    <row r="6" spans="1:9" x14ac:dyDescent="0.3">
      <c r="A6" s="2">
        <v>1</v>
      </c>
      <c r="B6" s="10">
        <v>1</v>
      </c>
      <c r="C6" s="6"/>
      <c r="D6" s="6"/>
      <c r="E6" s="6"/>
      <c r="F6" s="6"/>
      <c r="G6" s="6"/>
      <c r="H6" s="13">
        <f t="array" ref="H6:I6">LINEST(C8:C16,D8:D16,TRUE,TRUE)</f>
        <v>-1.0571909167367537</v>
      </c>
      <c r="I6" s="14">
        <v>-2.3111858704793948</v>
      </c>
    </row>
    <row r="7" spans="1:9" x14ac:dyDescent="0.3">
      <c r="A7" s="2">
        <v>2</v>
      </c>
      <c r="B7" s="6">
        <v>3</v>
      </c>
      <c r="C7" s="6">
        <f>B6-B7</f>
        <v>-2</v>
      </c>
      <c r="D7" s="6"/>
      <c r="E7" s="6"/>
      <c r="F7" s="6"/>
      <c r="G7" s="6"/>
      <c r="H7" s="6"/>
      <c r="I7" s="1"/>
    </row>
    <row r="8" spans="1:9" x14ac:dyDescent="0.3">
      <c r="A8" s="2">
        <v>3</v>
      </c>
      <c r="B8" s="6">
        <v>2</v>
      </c>
      <c r="C8" s="13">
        <f t="shared" ref="C8:C25" si="0">B7-B8</f>
        <v>1</v>
      </c>
      <c r="D8" s="13">
        <f>C7</f>
        <v>-2</v>
      </c>
      <c r="E8" s="6"/>
      <c r="F8" s="6"/>
      <c r="G8" s="6"/>
      <c r="H8" s="6"/>
      <c r="I8" s="1"/>
    </row>
    <row r="9" spans="1:9" x14ac:dyDescent="0.3">
      <c r="A9" s="2">
        <v>4</v>
      </c>
      <c r="B9" s="6">
        <v>5</v>
      </c>
      <c r="C9" s="13">
        <f t="shared" si="0"/>
        <v>-3</v>
      </c>
      <c r="D9" s="13">
        <f t="shared" ref="D9:D25" si="1">C8</f>
        <v>1</v>
      </c>
      <c r="E9" s="6"/>
      <c r="F9" s="6"/>
      <c r="G9" s="6"/>
      <c r="H9" s="6"/>
      <c r="I9" s="1"/>
    </row>
    <row r="10" spans="1:9" x14ac:dyDescent="0.3">
      <c r="A10" s="2">
        <v>5</v>
      </c>
      <c r="B10" s="6">
        <v>2</v>
      </c>
      <c r="C10" s="13">
        <f t="shared" si="0"/>
        <v>3</v>
      </c>
      <c r="D10" s="13">
        <f t="shared" si="1"/>
        <v>-3</v>
      </c>
      <c r="E10" s="6"/>
      <c r="F10" s="6"/>
      <c r="G10" s="6"/>
      <c r="H10" s="6"/>
      <c r="I10" s="1"/>
    </row>
    <row r="11" spans="1:9" x14ac:dyDescent="0.3">
      <c r="A11" s="2">
        <v>6</v>
      </c>
      <c r="B11" s="6">
        <v>9</v>
      </c>
      <c r="C11" s="13">
        <f t="shared" si="0"/>
        <v>-7</v>
      </c>
      <c r="D11" s="13">
        <f t="shared" si="1"/>
        <v>3</v>
      </c>
      <c r="E11" s="6"/>
      <c r="F11" s="6"/>
      <c r="G11" s="6"/>
      <c r="H11" s="6"/>
      <c r="I11" s="1"/>
    </row>
    <row r="12" spans="1:9" x14ac:dyDescent="0.3">
      <c r="A12" s="2">
        <v>7</v>
      </c>
      <c r="B12" s="6">
        <v>5</v>
      </c>
      <c r="C12" s="13">
        <f t="shared" si="0"/>
        <v>4</v>
      </c>
      <c r="D12" s="13">
        <f t="shared" si="1"/>
        <v>-7</v>
      </c>
      <c r="E12" s="6"/>
      <c r="F12" s="6"/>
      <c r="G12" s="6"/>
      <c r="H12" s="6"/>
      <c r="I12" s="1"/>
    </row>
    <row r="13" spans="1:9" x14ac:dyDescent="0.3">
      <c r="A13" s="2">
        <v>8</v>
      </c>
      <c r="B13" s="6">
        <v>12</v>
      </c>
      <c r="C13" s="13">
        <f t="shared" si="0"/>
        <v>-7</v>
      </c>
      <c r="D13" s="13">
        <f t="shared" si="1"/>
        <v>4</v>
      </c>
      <c r="E13" s="6"/>
      <c r="F13" s="6"/>
      <c r="G13" s="6"/>
      <c r="H13" s="6"/>
      <c r="I13" s="1"/>
    </row>
    <row r="14" spans="1:9" x14ac:dyDescent="0.3">
      <c r="A14" s="2">
        <v>9</v>
      </c>
      <c r="B14" s="6">
        <v>5</v>
      </c>
      <c r="C14" s="13">
        <f t="shared" si="0"/>
        <v>7</v>
      </c>
      <c r="D14" s="13">
        <f t="shared" si="1"/>
        <v>-7</v>
      </c>
      <c r="E14" s="6"/>
      <c r="F14" s="6"/>
      <c r="G14" s="6"/>
      <c r="H14" s="6"/>
      <c r="I14" s="1"/>
    </row>
    <row r="15" spans="1:9" x14ac:dyDescent="0.3">
      <c r="A15" s="2">
        <v>10</v>
      </c>
      <c r="B15" s="6">
        <v>15</v>
      </c>
      <c r="C15" s="13">
        <f t="shared" si="0"/>
        <v>-10</v>
      </c>
      <c r="D15" s="13">
        <f t="shared" si="1"/>
        <v>7</v>
      </c>
      <c r="E15" s="6"/>
      <c r="F15" s="6"/>
      <c r="G15" s="6"/>
      <c r="H15" s="6"/>
      <c r="I15" s="1"/>
    </row>
    <row r="16" spans="1:9" x14ac:dyDescent="0.3">
      <c r="A16" s="2">
        <v>11</v>
      </c>
      <c r="B16" s="6">
        <v>9</v>
      </c>
      <c r="C16" s="13">
        <f t="shared" si="0"/>
        <v>6</v>
      </c>
      <c r="D16" s="13">
        <f t="shared" si="1"/>
        <v>-10</v>
      </c>
      <c r="E16" s="6"/>
      <c r="F16" s="6"/>
      <c r="G16" s="6"/>
      <c r="H16" s="6"/>
      <c r="I16" s="1"/>
    </row>
    <row r="17" spans="1:10" x14ac:dyDescent="0.3">
      <c r="A17" s="2">
        <v>12</v>
      </c>
      <c r="B17" s="11">
        <v>16</v>
      </c>
      <c r="C17" s="6">
        <f t="shared" si="0"/>
        <v>-7</v>
      </c>
      <c r="D17" s="6">
        <f t="shared" si="1"/>
        <v>6</v>
      </c>
      <c r="E17" s="6">
        <f t="shared" ref="E17:E25" si="2">$R$47+$Q$47*D17</f>
        <v>0</v>
      </c>
      <c r="F17" s="8">
        <f>C17-E17</f>
        <v>-7</v>
      </c>
      <c r="G17" s="6">
        <f ca="1">OFFSET(F17,-1,0)</f>
        <v>0</v>
      </c>
      <c r="H17" s="6"/>
      <c r="I17" s="1"/>
      <c r="J17">
        <f ca="1">B17+I18</f>
        <v>16</v>
      </c>
    </row>
    <row r="18" spans="1:10" x14ac:dyDescent="0.3">
      <c r="A18" s="2">
        <v>13</v>
      </c>
      <c r="B18" s="11">
        <v>7</v>
      </c>
      <c r="C18" s="6">
        <f t="shared" si="0"/>
        <v>9</v>
      </c>
      <c r="D18" s="6">
        <f t="shared" si="1"/>
        <v>-7</v>
      </c>
      <c r="E18" s="6">
        <f t="shared" si="2"/>
        <v>0</v>
      </c>
      <c r="F18" s="8">
        <f t="shared" ref="F18:F25" si="3">C18-E18</f>
        <v>9</v>
      </c>
      <c r="G18" s="6">
        <f t="shared" ref="G18:G25" ca="1" si="4">OFFSET(F18,-1,0)</f>
        <v>-7</v>
      </c>
      <c r="H18" s="6">
        <f t="array" aca="1" ref="H18" ca="1">SUMPRODUCT(F18:F25,G18:G25)/SUMSQ(G18:G25)</f>
        <v>-1.1187607573149743</v>
      </c>
      <c r="I18" s="1">
        <f t="array" aca="1" ref="I18" ca="1">$R$47+$Q$47*D18+$AE$59*G18</f>
        <v>0</v>
      </c>
      <c r="J18">
        <f t="shared" ref="J18:J25" ca="1" si="5">B18+I19</f>
        <v>7</v>
      </c>
    </row>
    <row r="19" spans="1:10" x14ac:dyDescent="0.3">
      <c r="A19" s="2">
        <v>14</v>
      </c>
      <c r="B19" s="11">
        <v>14</v>
      </c>
      <c r="C19" s="6">
        <f t="shared" si="0"/>
        <v>-7</v>
      </c>
      <c r="D19" s="6">
        <f t="shared" si="1"/>
        <v>9</v>
      </c>
      <c r="E19" s="6">
        <f t="shared" si="2"/>
        <v>0</v>
      </c>
      <c r="F19" s="8">
        <f t="shared" si="3"/>
        <v>-7</v>
      </c>
      <c r="G19" s="6">
        <f t="shared" ca="1" si="4"/>
        <v>9</v>
      </c>
      <c r="H19" s="6"/>
      <c r="I19" s="1">
        <f t="array" aca="1" ref="I19" ca="1">$R$47+$Q$47*D19+$AE$59*G19</f>
        <v>0</v>
      </c>
      <c r="J19">
        <f t="shared" ca="1" si="5"/>
        <v>14</v>
      </c>
    </row>
    <row r="20" spans="1:10" x14ac:dyDescent="0.3">
      <c r="A20" s="2">
        <v>15</v>
      </c>
      <c r="B20" s="11">
        <v>8</v>
      </c>
      <c r="C20" s="6">
        <f t="shared" si="0"/>
        <v>6</v>
      </c>
      <c r="D20" s="6">
        <f t="shared" si="1"/>
        <v>-7</v>
      </c>
      <c r="E20" s="6">
        <f t="shared" si="2"/>
        <v>0</v>
      </c>
      <c r="F20" s="8">
        <f t="shared" si="3"/>
        <v>6</v>
      </c>
      <c r="G20" s="6">
        <f t="shared" ca="1" si="4"/>
        <v>-7</v>
      </c>
      <c r="H20" s="6"/>
      <c r="I20" s="1">
        <f t="array" aca="1" ref="I20" ca="1">$R$47+$Q$47*D20+$AE$59*G20</f>
        <v>0</v>
      </c>
      <c r="J20">
        <f t="shared" ca="1" si="5"/>
        <v>8</v>
      </c>
    </row>
    <row r="21" spans="1:10" x14ac:dyDescent="0.3">
      <c r="A21" s="2">
        <v>16</v>
      </c>
      <c r="B21" s="11">
        <v>16</v>
      </c>
      <c r="C21" s="6">
        <f t="shared" si="0"/>
        <v>-8</v>
      </c>
      <c r="D21" s="6">
        <f t="shared" si="1"/>
        <v>6</v>
      </c>
      <c r="E21" s="6">
        <f t="shared" si="2"/>
        <v>0</v>
      </c>
      <c r="F21" s="8">
        <f t="shared" si="3"/>
        <v>-8</v>
      </c>
      <c r="G21" s="6">
        <f t="shared" ca="1" si="4"/>
        <v>6</v>
      </c>
      <c r="H21" s="6"/>
      <c r="I21" s="1">
        <f t="array" aca="1" ref="I21" ca="1">$R$47+$Q$47*D21+$AE$59*G21</f>
        <v>0</v>
      </c>
      <c r="J21">
        <f t="shared" ca="1" si="5"/>
        <v>16</v>
      </c>
    </row>
    <row r="22" spans="1:10" x14ac:dyDescent="0.3">
      <c r="A22" s="2">
        <v>17</v>
      </c>
      <c r="B22" s="11">
        <v>6</v>
      </c>
      <c r="C22" s="6">
        <f t="shared" si="0"/>
        <v>10</v>
      </c>
      <c r="D22" s="6">
        <f t="shared" si="1"/>
        <v>-8</v>
      </c>
      <c r="E22" s="6">
        <f t="shared" si="2"/>
        <v>0</v>
      </c>
      <c r="F22" s="8">
        <f t="shared" si="3"/>
        <v>10</v>
      </c>
      <c r="G22" s="6">
        <f t="shared" ca="1" si="4"/>
        <v>-8</v>
      </c>
      <c r="H22" s="6"/>
      <c r="I22" s="1">
        <f t="array" aca="1" ref="I22" ca="1">$R$47+$Q$47*D22+$AE$59*G22</f>
        <v>0</v>
      </c>
      <c r="J22">
        <f t="shared" ca="1" si="5"/>
        <v>6</v>
      </c>
    </row>
    <row r="23" spans="1:10" x14ac:dyDescent="0.3">
      <c r="A23" s="2">
        <v>18</v>
      </c>
      <c r="B23" s="11">
        <v>15</v>
      </c>
      <c r="C23" s="6">
        <f t="shared" si="0"/>
        <v>-9</v>
      </c>
      <c r="D23" s="6">
        <f t="shared" si="1"/>
        <v>10</v>
      </c>
      <c r="E23" s="6">
        <f t="shared" si="2"/>
        <v>0</v>
      </c>
      <c r="F23" s="8">
        <f t="shared" si="3"/>
        <v>-9</v>
      </c>
      <c r="G23" s="6">
        <f t="shared" ca="1" si="4"/>
        <v>10</v>
      </c>
      <c r="H23" s="6"/>
      <c r="I23" s="1">
        <f t="array" aca="1" ref="I23" ca="1">$R$47+$Q$47*D23+$AE$59*G23</f>
        <v>0</v>
      </c>
      <c r="J23">
        <f t="shared" ca="1" si="5"/>
        <v>15</v>
      </c>
    </row>
    <row r="24" spans="1:10" x14ac:dyDescent="0.3">
      <c r="A24" s="2">
        <v>19</v>
      </c>
      <c r="B24" s="11">
        <v>4</v>
      </c>
      <c r="C24" s="6">
        <f t="shared" si="0"/>
        <v>11</v>
      </c>
      <c r="D24" s="6">
        <f t="shared" si="1"/>
        <v>-9</v>
      </c>
      <c r="E24" s="6">
        <f t="shared" si="2"/>
        <v>0</v>
      </c>
      <c r="F24" s="8">
        <f t="shared" si="3"/>
        <v>11</v>
      </c>
      <c r="G24" s="6">
        <f t="shared" ca="1" si="4"/>
        <v>-9</v>
      </c>
      <c r="H24" s="6"/>
      <c r="I24" s="1">
        <f t="array" aca="1" ref="I24" ca="1">$R$47+$Q$47*D24+$AE$59*G24</f>
        <v>0</v>
      </c>
      <c r="J24">
        <f t="shared" ca="1" si="5"/>
        <v>4</v>
      </c>
    </row>
    <row r="25" spans="1:10" x14ac:dyDescent="0.3">
      <c r="A25" s="2">
        <v>20</v>
      </c>
      <c r="B25" s="11">
        <v>19</v>
      </c>
      <c r="C25" s="6">
        <f t="shared" si="0"/>
        <v>-15</v>
      </c>
      <c r="D25" s="6">
        <f t="shared" si="1"/>
        <v>11</v>
      </c>
      <c r="E25" s="6">
        <f t="shared" si="2"/>
        <v>0</v>
      </c>
      <c r="F25" s="8">
        <f t="shared" si="3"/>
        <v>-15</v>
      </c>
      <c r="G25" s="6">
        <f t="shared" ca="1" si="4"/>
        <v>11</v>
      </c>
      <c r="H25" s="6"/>
      <c r="I25" s="1">
        <f t="array" aca="1" ref="I25" ca="1">$R$47+$Q$47*D25+$AE$59*G25</f>
        <v>0</v>
      </c>
      <c r="J25">
        <f t="shared" si="5"/>
        <v>19</v>
      </c>
    </row>
    <row r="26" spans="1:10" x14ac:dyDescent="0.3">
      <c r="A26" s="2"/>
      <c r="B26" s="6"/>
      <c r="C26" s="6"/>
      <c r="D26" s="6"/>
      <c r="E26" s="6"/>
      <c r="F26" s="6"/>
      <c r="G26" s="6"/>
      <c r="H26" s="6"/>
      <c r="I26" s="1"/>
    </row>
    <row r="27" spans="1:10" x14ac:dyDescent="0.3">
      <c r="A27" s="2"/>
      <c r="B27" s="6"/>
      <c r="C27" s="6"/>
      <c r="D27" s="6"/>
      <c r="E27" s="6"/>
      <c r="F27" s="6"/>
      <c r="G27" s="6"/>
      <c r="H27" s="6"/>
      <c r="I27" s="1"/>
    </row>
    <row r="28" spans="1:10" x14ac:dyDescent="0.3">
      <c r="A28" s="2"/>
      <c r="B28" s="6"/>
      <c r="C28" s="6"/>
      <c r="D28" s="6"/>
      <c r="E28" s="6"/>
      <c r="F28" s="6"/>
      <c r="G28" s="6"/>
      <c r="H28" s="6"/>
      <c r="I28" s="1"/>
    </row>
    <row r="29" spans="1:10" x14ac:dyDescent="0.3">
      <c r="A29" s="2"/>
      <c r="B29" s="6"/>
      <c r="C29" s="6"/>
      <c r="D29" s="6"/>
      <c r="E29" s="6"/>
      <c r="F29" s="6"/>
      <c r="G29" s="6"/>
      <c r="H29" s="6"/>
      <c r="I29" s="1"/>
    </row>
    <row r="30" spans="1:10" x14ac:dyDescent="0.3">
      <c r="A30" s="2"/>
      <c r="B30" s="6"/>
      <c r="C30" s="6"/>
      <c r="D30" s="6"/>
      <c r="E30" s="6"/>
      <c r="F30" s="6"/>
      <c r="G30" s="6"/>
      <c r="H30" s="6"/>
      <c r="I30" s="1"/>
    </row>
    <row r="31" spans="1:10" x14ac:dyDescent="0.3">
      <c r="A31" s="2"/>
      <c r="B31" s="6"/>
      <c r="C31" s="6"/>
      <c r="D31" s="6"/>
      <c r="E31" s="6"/>
      <c r="F31" s="6"/>
      <c r="G31" s="6"/>
      <c r="H31" s="6"/>
      <c r="I31" s="1"/>
    </row>
    <row r="32" spans="1:10" x14ac:dyDescent="0.3">
      <c r="A32" s="2"/>
      <c r="B32" s="6"/>
      <c r="C32" s="6"/>
      <c r="D32" s="6"/>
      <c r="E32" s="6"/>
      <c r="F32" s="6"/>
      <c r="G32" s="6"/>
      <c r="H32" s="6"/>
      <c r="I32" s="1"/>
    </row>
    <row r="33" spans="1:9" x14ac:dyDescent="0.3">
      <c r="A33" s="2"/>
      <c r="B33" s="6"/>
      <c r="C33" s="6"/>
      <c r="D33" s="6"/>
      <c r="E33" s="6"/>
      <c r="F33" s="6"/>
      <c r="G33" s="6"/>
      <c r="H33" s="6"/>
      <c r="I33" s="1"/>
    </row>
    <row r="34" spans="1:9" x14ac:dyDescent="0.3">
      <c r="A34" s="2"/>
      <c r="B34" s="6"/>
      <c r="C34" s="6"/>
      <c r="D34" s="6"/>
      <c r="E34" s="6"/>
      <c r="F34" s="6"/>
      <c r="G34" s="6"/>
      <c r="H34" s="6"/>
      <c r="I34" s="1"/>
    </row>
    <row r="35" spans="1:9" x14ac:dyDescent="0.3">
      <c r="A35" s="2"/>
      <c r="B35" s="6"/>
      <c r="C35" s="6"/>
      <c r="D35" s="6"/>
      <c r="E35" s="6"/>
      <c r="F35" s="6"/>
      <c r="G35" s="6"/>
      <c r="H35" s="6"/>
      <c r="I35" s="1"/>
    </row>
    <row r="36" spans="1:9" x14ac:dyDescent="0.3">
      <c r="A36" s="2"/>
      <c r="B36" s="6"/>
      <c r="C36" s="6"/>
      <c r="D36" s="6"/>
      <c r="E36" s="6"/>
      <c r="F36" s="6"/>
      <c r="G36" s="6"/>
      <c r="H36" s="6"/>
      <c r="I36" s="1"/>
    </row>
    <row r="37" spans="1:9" x14ac:dyDescent="0.3">
      <c r="A37" s="2"/>
      <c r="B37" s="6"/>
      <c r="C37" s="6"/>
      <c r="D37" s="6"/>
      <c r="E37" s="6"/>
      <c r="F37" s="6"/>
      <c r="G37" s="6"/>
      <c r="H37" s="6"/>
      <c r="I37" s="1"/>
    </row>
    <row r="38" spans="1:9" x14ac:dyDescent="0.3">
      <c r="A38" s="5"/>
      <c r="B38" s="3"/>
      <c r="C38" s="3"/>
      <c r="D38" s="3"/>
      <c r="E38" s="3"/>
      <c r="F38" s="3"/>
      <c r="G38" s="3"/>
      <c r="H38" s="3"/>
      <c r="I38" s="4"/>
    </row>
  </sheetData>
  <mergeCells count="2">
    <mergeCell ref="A1:I2"/>
    <mergeCell ref="A3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0EFEF-8BAE-4EC3-A68A-60B87AFA051D}">
  <sheetPr codeName="Sheet9"/>
  <dimension ref="A1:AB79"/>
  <sheetViews>
    <sheetView tabSelected="1" zoomScale="55" zoomScaleNormal="55" workbookViewId="0">
      <selection activeCell="AA33" sqref="AA33"/>
    </sheetView>
  </sheetViews>
  <sheetFormatPr defaultRowHeight="16.5" x14ac:dyDescent="0.3"/>
  <cols>
    <col min="1" max="1" width="10.625" customWidth="1"/>
    <col min="2" max="2" width="13.5" bestFit="1" customWidth="1"/>
    <col min="6" max="6" width="10" customWidth="1"/>
    <col min="7" max="7" width="10.875" customWidth="1"/>
    <col min="10" max="12" width="9" customWidth="1"/>
    <col min="25" max="28" width="16.375" customWidth="1"/>
  </cols>
  <sheetData>
    <row r="1" spans="1:28" ht="17.25" thickBot="1" x14ac:dyDescent="0.35">
      <c r="A1" s="35" t="s">
        <v>5</v>
      </c>
      <c r="B1" s="36"/>
      <c r="C1" s="36"/>
      <c r="D1" s="36"/>
      <c r="E1" s="36"/>
      <c r="F1" s="36"/>
      <c r="G1" s="37"/>
      <c r="H1" s="6"/>
      <c r="J1" s="35" t="s">
        <v>3</v>
      </c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7"/>
    </row>
    <row r="2" spans="1:28" x14ac:dyDescent="0.3">
      <c r="A2" s="38"/>
      <c r="B2" s="39"/>
      <c r="C2" s="39"/>
      <c r="D2" s="39"/>
      <c r="E2" s="39"/>
      <c r="F2" s="39"/>
      <c r="G2" s="40"/>
      <c r="H2" s="6"/>
      <c r="J2" s="38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40"/>
      <c r="Y2" s="41" t="s">
        <v>34</v>
      </c>
      <c r="Z2" s="42"/>
      <c r="AA2" s="42"/>
      <c r="AB2" s="43"/>
    </row>
    <row r="3" spans="1:28" x14ac:dyDescent="0.3">
      <c r="A3" s="32" t="s">
        <v>30</v>
      </c>
      <c r="B3" s="33"/>
      <c r="C3" s="33"/>
      <c r="D3" s="33"/>
      <c r="E3" s="33"/>
      <c r="F3" s="33"/>
      <c r="G3" s="34"/>
      <c r="H3" s="6"/>
      <c r="J3" s="32" t="s">
        <v>4</v>
      </c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4"/>
      <c r="Y3" s="44"/>
      <c r="Z3" s="45"/>
      <c r="AA3" s="45"/>
      <c r="AB3" s="46"/>
    </row>
    <row r="4" spans="1:28" ht="17.25" x14ac:dyDescent="0.3">
      <c r="A4" s="32"/>
      <c r="B4" s="33"/>
      <c r="C4" s="33"/>
      <c r="D4" s="33"/>
      <c r="E4" s="33"/>
      <c r="F4" s="33"/>
      <c r="G4" s="34"/>
      <c r="H4" s="6"/>
      <c r="J4" s="32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4"/>
      <c r="Y4" s="62" t="s">
        <v>35</v>
      </c>
      <c r="Z4" s="63"/>
      <c r="AA4" s="63"/>
      <c r="AB4" s="64"/>
    </row>
    <row r="5" spans="1:28" x14ac:dyDescent="0.3">
      <c r="A5" s="23" t="s">
        <v>15</v>
      </c>
      <c r="B5" s="24" t="s">
        <v>2</v>
      </c>
      <c r="C5" s="24" t="s">
        <v>8</v>
      </c>
      <c r="D5" s="24" t="s">
        <v>0</v>
      </c>
      <c r="E5" s="24"/>
      <c r="F5" s="21" t="s">
        <v>21</v>
      </c>
      <c r="G5" s="22" t="s">
        <v>1</v>
      </c>
      <c r="H5" s="6"/>
      <c r="J5" s="19" t="s">
        <v>15</v>
      </c>
      <c r="K5" s="7" t="s">
        <v>2</v>
      </c>
      <c r="L5" s="7" t="s">
        <v>8</v>
      </c>
      <c r="M5" s="7" t="s">
        <v>9</v>
      </c>
      <c r="N5" s="7" t="s">
        <v>10</v>
      </c>
      <c r="O5" s="7" t="s">
        <v>11</v>
      </c>
      <c r="P5" s="7" t="s">
        <v>0</v>
      </c>
      <c r="Q5" s="6"/>
      <c r="R5" s="20" t="s">
        <v>18</v>
      </c>
      <c r="S5" s="20" t="s">
        <v>19</v>
      </c>
      <c r="T5" s="20" t="s">
        <v>20</v>
      </c>
      <c r="U5" s="21" t="s">
        <v>21</v>
      </c>
      <c r="V5" s="22" t="s">
        <v>1</v>
      </c>
      <c r="Y5" s="65" t="s">
        <v>33</v>
      </c>
      <c r="Z5" s="66"/>
      <c r="AA5" s="66"/>
      <c r="AB5" s="67"/>
    </row>
    <row r="6" spans="1:28" x14ac:dyDescent="0.3">
      <c r="A6" s="2">
        <v>1</v>
      </c>
      <c r="B6" s="10">
        <v>51.041272878646851</v>
      </c>
      <c r="C6" s="6"/>
      <c r="D6" s="6"/>
      <c r="E6" s="6"/>
      <c r="F6" s="16">
        <f t="array" ref="F6:G6">LINEST(B7:B15,C7:C15,TRUE,TRUE)</f>
        <v>0.90269585721425283</v>
      </c>
      <c r="G6" s="17">
        <v>1.199033910714931</v>
      </c>
      <c r="H6" s="6"/>
      <c r="J6" s="2">
        <v>1</v>
      </c>
      <c r="K6" s="10">
        <v>6.7109667539596565</v>
      </c>
      <c r="L6" s="6">
        <v>6.9569838821887977</v>
      </c>
      <c r="M6" s="6">
        <v>5.4388329863548286</v>
      </c>
      <c r="N6" s="6">
        <v>6.5205830514431007</v>
      </c>
      <c r="O6" s="6">
        <v>8.1523962020874023</v>
      </c>
      <c r="P6" s="6"/>
      <c r="Q6" s="6"/>
      <c r="R6" s="13">
        <f t="array" ref="R6:V6">LINEST(K10:K15, L10:O15, TRUE, TRUE)</f>
        <v>-6.8282930534842523E-2</v>
      </c>
      <c r="S6" s="13">
        <v>-0.11570447404229098</v>
      </c>
      <c r="T6" s="13">
        <v>0.86847651621473132</v>
      </c>
      <c r="U6" s="13">
        <v>9.3880059514151806E-2</v>
      </c>
      <c r="V6" s="14">
        <v>3.1571130150129028</v>
      </c>
      <c r="Y6" s="68"/>
      <c r="Z6" s="69"/>
      <c r="AA6" s="69"/>
      <c r="AB6" s="70"/>
    </row>
    <row r="7" spans="1:28" x14ac:dyDescent="0.3">
      <c r="A7" s="2">
        <v>2</v>
      </c>
      <c r="B7" s="16">
        <v>47.018086787901424</v>
      </c>
      <c r="C7" s="16">
        <f>B6</f>
        <v>51.041272878646851</v>
      </c>
      <c r="D7" s="6"/>
      <c r="E7" s="33" t="s">
        <v>17</v>
      </c>
      <c r="F7" s="33"/>
      <c r="G7" s="34"/>
      <c r="H7" s="6"/>
      <c r="J7" s="2">
        <v>2</v>
      </c>
      <c r="K7" s="10">
        <v>5.9366646170616146</v>
      </c>
      <c r="L7" s="6">
        <v>6.483115321397781</v>
      </c>
      <c r="M7" s="6">
        <v>4.7240948438644406</v>
      </c>
      <c r="N7" s="6">
        <v>6.4913807570934292</v>
      </c>
      <c r="O7" s="6">
        <v>7.1434748768806458</v>
      </c>
      <c r="P7" s="6"/>
      <c r="Q7" s="6"/>
      <c r="R7" s="6"/>
      <c r="S7" s="33" t="s">
        <v>28</v>
      </c>
      <c r="T7" s="33"/>
      <c r="U7" s="33"/>
      <c r="V7" s="34"/>
      <c r="Y7" s="68"/>
      <c r="Z7" s="69"/>
      <c r="AA7" s="69"/>
      <c r="AB7" s="70"/>
    </row>
    <row r="8" spans="1:28" x14ac:dyDescent="0.3">
      <c r="A8" s="2">
        <v>3</v>
      </c>
      <c r="B8" s="16">
        <v>46.350896113797241</v>
      </c>
      <c r="C8" s="16">
        <f t="shared" ref="C8:C25" si="0">B7</f>
        <v>47.018086787901424</v>
      </c>
      <c r="D8" s="6"/>
      <c r="E8" s="33"/>
      <c r="F8" s="33"/>
      <c r="G8" s="34"/>
      <c r="H8" s="6"/>
      <c r="J8" s="2">
        <v>3</v>
      </c>
      <c r="K8" s="10">
        <v>11.164860939979555</v>
      </c>
      <c r="L8" s="6">
        <v>10.953469699621202</v>
      </c>
      <c r="M8" s="6">
        <v>10.220568573474884</v>
      </c>
      <c r="N8" s="6">
        <v>9.9450374901294722</v>
      </c>
      <c r="O8" s="6">
        <v>12.131687164306641</v>
      </c>
      <c r="P8" s="6"/>
      <c r="Q8" s="6"/>
      <c r="R8" s="6"/>
      <c r="S8" s="33"/>
      <c r="T8" s="33"/>
      <c r="U8" s="33"/>
      <c r="V8" s="34"/>
      <c r="Y8" s="68"/>
      <c r="Z8" s="69"/>
      <c r="AA8" s="69"/>
      <c r="AB8" s="70"/>
    </row>
    <row r="9" spans="1:28" x14ac:dyDescent="0.3">
      <c r="A9" s="2">
        <v>4</v>
      </c>
      <c r="B9" s="16">
        <v>41.237057080394344</v>
      </c>
      <c r="C9" s="16">
        <f t="shared" si="0"/>
        <v>46.350896113797241</v>
      </c>
      <c r="D9" s="6"/>
      <c r="E9" s="6"/>
      <c r="F9" s="6"/>
      <c r="G9" s="1"/>
      <c r="H9" s="6"/>
      <c r="J9" s="2">
        <v>4</v>
      </c>
      <c r="K9" s="10">
        <v>12.56812926530838</v>
      </c>
      <c r="L9" s="6">
        <v>12.797557526826859</v>
      </c>
      <c r="M9" s="6">
        <v>12.222839260101319</v>
      </c>
      <c r="N9" s="6">
        <v>11.344262474775313</v>
      </c>
      <c r="O9" s="6">
        <v>13.714339911937714</v>
      </c>
      <c r="P9" s="6"/>
      <c r="Q9" s="6"/>
      <c r="R9" s="6"/>
      <c r="S9" s="6"/>
      <c r="T9" s="6"/>
      <c r="U9" s="6"/>
      <c r="V9" s="1"/>
      <c r="Y9" s="68"/>
      <c r="Z9" s="69"/>
      <c r="AA9" s="69"/>
      <c r="AB9" s="70"/>
    </row>
    <row r="10" spans="1:28" ht="16.5" customHeight="1" x14ac:dyDescent="0.3">
      <c r="A10" s="2">
        <v>5</v>
      </c>
      <c r="B10" s="16">
        <v>38.849149453012565</v>
      </c>
      <c r="C10" s="16">
        <f t="shared" si="0"/>
        <v>41.237057080394344</v>
      </c>
      <c r="D10" s="6"/>
      <c r="E10" s="6"/>
      <c r="F10" s="6"/>
      <c r="G10" s="1"/>
      <c r="H10" s="6"/>
      <c r="J10" s="2">
        <v>5</v>
      </c>
      <c r="K10" s="18">
        <v>6.9264490723609917</v>
      </c>
      <c r="L10" s="16">
        <v>6.1827348589897149</v>
      </c>
      <c r="M10" s="16">
        <v>5.0698599934577935</v>
      </c>
      <c r="N10" s="16">
        <v>6.2475000739097588</v>
      </c>
      <c r="O10" s="16">
        <v>7.4762950539588928</v>
      </c>
      <c r="P10" s="6"/>
      <c r="Q10" s="6"/>
      <c r="R10" s="6"/>
      <c r="S10" s="6"/>
      <c r="T10" s="6"/>
      <c r="U10" s="6"/>
      <c r="V10" s="1"/>
      <c r="Y10" s="68"/>
      <c r="Z10" s="69"/>
      <c r="AA10" s="69"/>
      <c r="AB10" s="70"/>
    </row>
    <row r="11" spans="1:28" ht="16.5" customHeight="1" x14ac:dyDescent="0.3">
      <c r="A11" s="2">
        <v>6</v>
      </c>
      <c r="B11" s="16">
        <v>36.375488623192439</v>
      </c>
      <c r="C11" s="16">
        <f t="shared" si="0"/>
        <v>38.849149453012565</v>
      </c>
      <c r="D11" s="6"/>
      <c r="E11" s="6"/>
      <c r="F11" s="6"/>
      <c r="G11" s="1"/>
      <c r="H11" s="6"/>
      <c r="J11" s="2">
        <v>6</v>
      </c>
      <c r="K11" s="18">
        <v>7.2416336774826053</v>
      </c>
      <c r="L11" s="16">
        <v>6.591262781620026</v>
      </c>
      <c r="M11" s="16">
        <v>5.4660235881805423</v>
      </c>
      <c r="N11" s="16">
        <v>7.1858738303184513</v>
      </c>
      <c r="O11" s="16">
        <v>8.0528818368911743</v>
      </c>
      <c r="P11" s="6"/>
      <c r="Q11" s="6"/>
      <c r="R11" s="6"/>
      <c r="S11" s="6"/>
      <c r="T11" s="6"/>
      <c r="U11" s="6"/>
      <c r="V11" s="1"/>
      <c r="Y11" s="71"/>
      <c r="Z11" s="72"/>
      <c r="AA11" s="72"/>
      <c r="AB11" s="73"/>
    </row>
    <row r="12" spans="1:28" ht="16.5" customHeight="1" x14ac:dyDescent="0.3">
      <c r="A12" s="2">
        <v>7</v>
      </c>
      <c r="B12" s="16">
        <v>36.132964353812369</v>
      </c>
      <c r="C12" s="16">
        <f t="shared" si="0"/>
        <v>36.375488623192439</v>
      </c>
      <c r="D12" s="6"/>
      <c r="E12" s="6"/>
      <c r="F12" s="6"/>
      <c r="G12" s="1"/>
      <c r="H12" s="6"/>
      <c r="J12" s="2">
        <v>7</v>
      </c>
      <c r="K12" s="18">
        <v>6.134083008766174</v>
      </c>
      <c r="L12" s="16">
        <v>6.1014364421367642</v>
      </c>
      <c r="M12" s="16">
        <v>4.2536560654640194</v>
      </c>
      <c r="N12" s="16">
        <v>6.5187413752079006</v>
      </c>
      <c r="O12" s="16">
        <v>7.5357422828674316</v>
      </c>
      <c r="P12" s="6"/>
      <c r="Q12" s="6"/>
      <c r="R12" s="6"/>
      <c r="S12" s="6"/>
      <c r="T12" s="6"/>
      <c r="U12" s="6"/>
      <c r="V12" s="1"/>
      <c r="Y12" s="47" t="s">
        <v>36</v>
      </c>
      <c r="Z12" s="48"/>
      <c r="AA12" s="48"/>
      <c r="AB12" s="49"/>
    </row>
    <row r="13" spans="1:28" ht="16.5" customHeight="1" x14ac:dyDescent="0.3">
      <c r="A13" s="2">
        <v>8</v>
      </c>
      <c r="B13" s="16">
        <v>29.525399543737109</v>
      </c>
      <c r="C13" s="16">
        <f t="shared" si="0"/>
        <v>36.132964353812369</v>
      </c>
      <c r="D13" s="6"/>
      <c r="E13" s="6"/>
      <c r="F13" s="6"/>
      <c r="G13" s="1"/>
      <c r="H13" s="6"/>
      <c r="J13" s="2">
        <v>8</v>
      </c>
      <c r="K13" s="18">
        <v>12.110129654407501</v>
      </c>
      <c r="L13" s="16">
        <v>11.834175258874893</v>
      </c>
      <c r="M13" s="16">
        <v>11.383191347122192</v>
      </c>
      <c r="N13" s="16">
        <v>10.555492967367172</v>
      </c>
      <c r="O13" s="16">
        <v>12.535518825054169</v>
      </c>
      <c r="P13" s="6"/>
      <c r="Q13" s="6"/>
      <c r="R13" s="6"/>
      <c r="S13" s="6"/>
      <c r="T13" s="6"/>
      <c r="U13" s="6"/>
      <c r="V13" s="1"/>
      <c r="Y13" s="50"/>
      <c r="Z13" s="51"/>
      <c r="AA13" s="51"/>
      <c r="AB13" s="52"/>
    </row>
    <row r="14" spans="1:28" ht="16.5" customHeight="1" x14ac:dyDescent="0.3">
      <c r="A14" s="2">
        <v>9</v>
      </c>
      <c r="B14" s="16">
        <v>27.277848933872423</v>
      </c>
      <c r="C14" s="16">
        <f t="shared" si="0"/>
        <v>29.525399543737109</v>
      </c>
      <c r="D14" s="6"/>
      <c r="E14" s="6"/>
      <c r="F14" s="6"/>
      <c r="G14" s="1"/>
      <c r="H14" s="6"/>
      <c r="J14" s="2">
        <v>9</v>
      </c>
      <c r="K14" s="18">
        <v>13.928802216053009</v>
      </c>
      <c r="L14" s="16">
        <v>13.019597852230072</v>
      </c>
      <c r="M14" s="16">
        <v>13.804625475406647</v>
      </c>
      <c r="N14" s="16">
        <v>12.308734023571015</v>
      </c>
      <c r="O14" s="16">
        <v>14.471896946430206</v>
      </c>
      <c r="P14" s="6"/>
      <c r="Q14" s="6"/>
      <c r="R14" s="6"/>
      <c r="S14" s="6"/>
      <c r="T14" s="6"/>
      <c r="U14" s="6"/>
      <c r="V14" s="1"/>
      <c r="Y14" s="53"/>
      <c r="Z14" s="54"/>
      <c r="AA14" s="54"/>
      <c r="AB14" s="55"/>
    </row>
    <row r="15" spans="1:28" ht="16.5" customHeight="1" x14ac:dyDescent="0.3">
      <c r="A15" s="2">
        <v>10</v>
      </c>
      <c r="B15" s="16">
        <v>27.405577989001024</v>
      </c>
      <c r="C15" s="16">
        <f t="shared" si="0"/>
        <v>27.277848933872423</v>
      </c>
      <c r="D15" s="6"/>
      <c r="E15" s="6"/>
      <c r="F15" s="6"/>
      <c r="G15" s="1"/>
      <c r="H15" s="6"/>
      <c r="J15" s="2">
        <v>10</v>
      </c>
      <c r="K15" s="18">
        <v>6.9905584931373603</v>
      </c>
      <c r="L15" s="16">
        <v>6.6101074397563941</v>
      </c>
      <c r="M15" s="16">
        <v>5.3501738786697395</v>
      </c>
      <c r="N15" s="16">
        <v>6.8854041874408729</v>
      </c>
      <c r="O15" s="16">
        <v>7.8053953051567078</v>
      </c>
      <c r="P15" s="6"/>
      <c r="Q15" s="6"/>
      <c r="R15" s="6"/>
      <c r="S15" s="6"/>
      <c r="T15" s="6"/>
      <c r="U15" s="6"/>
      <c r="V15" s="1"/>
      <c r="Y15" s="56"/>
      <c r="Z15" s="57"/>
      <c r="AA15" s="57"/>
      <c r="AB15" s="58"/>
    </row>
    <row r="16" spans="1:28" ht="16.5" customHeight="1" x14ac:dyDescent="0.3">
      <c r="A16" s="2">
        <v>11</v>
      </c>
      <c r="B16" s="11">
        <v>25.291501252274763</v>
      </c>
      <c r="C16" s="6">
        <f t="shared" si="0"/>
        <v>27.405577989001024</v>
      </c>
      <c r="D16" s="8">
        <f t="shared" ref="D16:D25" si="1">$G$6+$F$6*C16</f>
        <v>25.937935625948271</v>
      </c>
      <c r="E16" s="12"/>
      <c r="F16" s="6"/>
      <c r="G16" s="1"/>
      <c r="H16" s="6"/>
      <c r="J16" s="2">
        <v>11</v>
      </c>
      <c r="K16" s="11">
        <v>6.4865580916404717</v>
      </c>
      <c r="L16" s="6">
        <v>6.0023548722267144</v>
      </c>
      <c r="M16" s="6">
        <v>4.9827236056327813</v>
      </c>
      <c r="N16" s="6">
        <v>6.6281724095344536</v>
      </c>
      <c r="O16" s="6">
        <v>7.9701542258262634</v>
      </c>
      <c r="P16" s="8">
        <f t="shared" ref="P16:P25" si="2">$V$6+$U$6*L16+$T$6*M16+$S$6*N16+$R$6*O16</f>
        <v>6.7368581960625837</v>
      </c>
      <c r="Q16" s="9"/>
      <c r="R16" s="6"/>
      <c r="S16" s="6"/>
      <c r="T16" s="6"/>
      <c r="U16" s="6"/>
      <c r="V16" s="1"/>
      <c r="Y16" s="59" t="s">
        <v>32</v>
      </c>
      <c r="Z16" s="60"/>
      <c r="AA16" s="60"/>
      <c r="AB16" s="61"/>
    </row>
    <row r="17" spans="1:28" x14ac:dyDescent="0.3">
      <c r="A17" s="2">
        <v>12</v>
      </c>
      <c r="B17" s="11">
        <v>21.500742281738081</v>
      </c>
      <c r="C17" s="6">
        <f t="shared" si="0"/>
        <v>25.291501252274763</v>
      </c>
      <c r="D17" s="8">
        <f t="shared" si="1"/>
        <v>24.029567313872448</v>
      </c>
      <c r="E17" s="6"/>
      <c r="F17" s="6"/>
      <c r="G17" s="1"/>
      <c r="H17" s="6"/>
      <c r="J17" s="2">
        <v>12</v>
      </c>
      <c r="K17" s="11">
        <v>6.3400637269020077</v>
      </c>
      <c r="L17" s="6">
        <v>6.5656516611576077</v>
      </c>
      <c r="M17" s="6">
        <v>4.7264681816101071</v>
      </c>
      <c r="N17" s="6">
        <v>6.0248352944850918</v>
      </c>
      <c r="O17" s="6">
        <v>7.3328656554222107</v>
      </c>
      <c r="P17" s="8">
        <f t="shared" si="2"/>
        <v>6.6805134489657343</v>
      </c>
      <c r="R17" s="12"/>
      <c r="S17" s="6"/>
      <c r="T17" s="6"/>
      <c r="U17" s="6"/>
      <c r="V17" s="1"/>
      <c r="Y17" s="74" t="s">
        <v>37</v>
      </c>
      <c r="Z17" s="75"/>
      <c r="AA17" s="75"/>
      <c r="AB17" s="76"/>
    </row>
    <row r="18" spans="1:28" x14ac:dyDescent="0.3">
      <c r="A18" s="2">
        <v>13</v>
      </c>
      <c r="B18" s="11">
        <v>19.196328840757673</v>
      </c>
      <c r="C18" s="6">
        <f t="shared" si="0"/>
        <v>21.500742281738081</v>
      </c>
      <c r="D18" s="8">
        <f t="shared" si="1"/>
        <v>20.607664895471217</v>
      </c>
      <c r="E18" s="6"/>
      <c r="F18" s="6"/>
      <c r="G18" s="1"/>
      <c r="H18" s="6"/>
      <c r="J18" s="2">
        <v>13</v>
      </c>
      <c r="K18" s="11">
        <v>11.975826895236969</v>
      </c>
      <c r="L18" s="6">
        <v>11.294407403469087</v>
      </c>
      <c r="M18" s="6">
        <v>11.314095890522003</v>
      </c>
      <c r="N18" s="6">
        <v>11.185702598094942</v>
      </c>
      <c r="O18" s="6">
        <v>12.860733568668365</v>
      </c>
      <c r="P18" s="8">
        <f t="shared" si="2"/>
        <v>11.871054824545052</v>
      </c>
      <c r="Q18" s="6"/>
      <c r="R18" s="6"/>
      <c r="S18" s="6"/>
      <c r="T18" s="6"/>
      <c r="U18" s="6"/>
      <c r="V18" s="1"/>
      <c r="Y18" s="77" t="s">
        <v>38</v>
      </c>
      <c r="Z18" s="78"/>
      <c r="AA18" s="78"/>
      <c r="AB18" s="79"/>
    </row>
    <row r="19" spans="1:28" x14ac:dyDescent="0.3">
      <c r="A19" s="2">
        <v>14</v>
      </c>
      <c r="B19" s="11">
        <v>14.313982326733438</v>
      </c>
      <c r="C19" s="6">
        <f t="shared" si="0"/>
        <v>19.196328840757673</v>
      </c>
      <c r="D19" s="8">
        <f t="shared" si="1"/>
        <v>18.527480428989364</v>
      </c>
      <c r="E19" s="6"/>
      <c r="F19" s="6"/>
      <c r="G19" s="1"/>
      <c r="H19" s="6"/>
      <c r="J19" s="2">
        <v>14</v>
      </c>
      <c r="K19" s="11">
        <v>13.003280317783355</v>
      </c>
      <c r="L19" s="6">
        <v>12.678147023916244</v>
      </c>
      <c r="M19" s="6">
        <v>13.243051981925964</v>
      </c>
      <c r="N19" s="6">
        <v>11.44660854935646</v>
      </c>
      <c r="O19" s="6">
        <v>14.458838164806366</v>
      </c>
      <c r="P19" s="8">
        <f t="shared" si="2"/>
        <v>13.536902197667697</v>
      </c>
      <c r="Q19" s="6"/>
      <c r="R19" s="6"/>
      <c r="S19" s="6"/>
      <c r="T19" s="6"/>
      <c r="U19" s="6"/>
      <c r="V19" s="1"/>
      <c r="Y19" s="80"/>
      <c r="Z19" s="81"/>
      <c r="AA19" s="81"/>
      <c r="AB19" s="82"/>
    </row>
    <row r="20" spans="1:28" x14ac:dyDescent="0.3">
      <c r="A20" s="2">
        <v>15</v>
      </c>
      <c r="B20" s="11">
        <v>12.772124484965676</v>
      </c>
      <c r="C20" s="6">
        <f t="shared" si="0"/>
        <v>14.313982326733438</v>
      </c>
      <c r="D20" s="8">
        <f t="shared" si="1"/>
        <v>14.120206457295238</v>
      </c>
      <c r="E20" s="6"/>
      <c r="F20" s="6"/>
      <c r="G20" s="1"/>
      <c r="H20" s="6"/>
      <c r="J20" s="2">
        <v>15</v>
      </c>
      <c r="K20" s="11">
        <v>6.3849506855010993</v>
      </c>
      <c r="L20" s="6">
        <v>6.7230860769748695</v>
      </c>
      <c r="M20" s="6">
        <v>5.503985512256623</v>
      </c>
      <c r="N20" s="6">
        <v>6.9643376052379615</v>
      </c>
      <c r="O20" s="6">
        <v>7.6197952032089233</v>
      </c>
      <c r="P20" s="8">
        <f t="shared" si="2"/>
        <v>7.2422519328016062</v>
      </c>
      <c r="Q20" s="6"/>
      <c r="R20" s="6"/>
      <c r="S20" s="6"/>
      <c r="T20" s="6"/>
      <c r="U20" s="6"/>
      <c r="V20" s="1"/>
      <c r="Y20" s="83"/>
      <c r="Z20" s="84"/>
      <c r="AA20" s="84"/>
      <c r="AB20" s="85"/>
    </row>
    <row r="21" spans="1:28" x14ac:dyDescent="0.3">
      <c r="A21" s="2">
        <v>16</v>
      </c>
      <c r="B21" s="11">
        <v>10.638732267053504</v>
      </c>
      <c r="C21" s="6">
        <f t="shared" si="0"/>
        <v>12.772124484965676</v>
      </c>
      <c r="D21" s="8">
        <f t="shared" si="1"/>
        <v>12.72837777111817</v>
      </c>
      <c r="E21" s="6"/>
      <c r="F21" s="6"/>
      <c r="G21" s="1"/>
      <c r="H21" s="6"/>
      <c r="J21" s="2">
        <v>16</v>
      </c>
      <c r="K21" s="11">
        <v>6.6791686058044437</v>
      </c>
      <c r="L21" s="6">
        <v>7.3318820834159855</v>
      </c>
      <c r="M21" s="6">
        <v>5.0376584768295292</v>
      </c>
      <c r="N21" s="6">
        <v>6.8805546402931217</v>
      </c>
      <c r="O21" s="6">
        <v>7.5151169300079346</v>
      </c>
      <c r="P21" s="8">
        <f t="shared" si="2"/>
        <v>6.9112534621239465</v>
      </c>
      <c r="Q21" s="6"/>
      <c r="R21" s="6"/>
      <c r="S21" s="6"/>
      <c r="T21" s="6"/>
      <c r="U21" s="6"/>
      <c r="V21" s="1"/>
    </row>
    <row r="22" spans="1:28" x14ac:dyDescent="0.3">
      <c r="A22" s="2">
        <v>17</v>
      </c>
      <c r="B22" s="11">
        <v>8.2401482556995589</v>
      </c>
      <c r="C22" s="6">
        <f t="shared" si="0"/>
        <v>10.638732267053504</v>
      </c>
      <c r="D22" s="8">
        <f t="shared" si="1"/>
        <v>10.802573454195725</v>
      </c>
      <c r="E22" s="6"/>
      <c r="F22" s="6"/>
      <c r="G22" s="1"/>
      <c r="J22" s="2">
        <v>17</v>
      </c>
      <c r="K22" s="11">
        <v>7.4756402969360352</v>
      </c>
      <c r="L22" s="6">
        <v>6.7812020480632782</v>
      </c>
      <c r="M22" s="6">
        <v>5.6889225840568542</v>
      </c>
      <c r="N22" s="6">
        <v>7.3488549292087555</v>
      </c>
      <c r="O22" s="6">
        <v>8.5201371908187866</v>
      </c>
      <c r="P22" s="8">
        <f t="shared" si="2"/>
        <v>7.302353003334372</v>
      </c>
      <c r="Q22" s="6"/>
      <c r="R22" s="6"/>
      <c r="S22" s="6"/>
      <c r="T22" s="6"/>
      <c r="U22" s="6"/>
      <c r="V22" s="1"/>
    </row>
    <row r="23" spans="1:28" x14ac:dyDescent="0.3">
      <c r="A23" s="2">
        <v>18</v>
      </c>
      <c r="B23" s="11">
        <v>4.0065243902959313</v>
      </c>
      <c r="C23" s="6">
        <f t="shared" si="0"/>
        <v>8.2401482556995589</v>
      </c>
      <c r="D23" s="8">
        <f t="shared" si="1"/>
        <v>8.6373816039661744</v>
      </c>
      <c r="E23" s="6"/>
      <c r="F23" s="6"/>
      <c r="G23" s="1"/>
      <c r="J23" s="2">
        <v>18</v>
      </c>
      <c r="K23" s="11">
        <v>11.314558303356172</v>
      </c>
      <c r="L23" s="6">
        <v>11.117534643411638</v>
      </c>
      <c r="M23" s="6">
        <v>9.8629636526107785</v>
      </c>
      <c r="N23" s="6">
        <v>9.5242015779018416</v>
      </c>
      <c r="O23" s="6">
        <v>11.592967092990875</v>
      </c>
      <c r="P23" s="8">
        <f t="shared" si="2"/>
        <v>10.872985640611661</v>
      </c>
      <c r="Q23" s="6"/>
      <c r="R23" s="6"/>
      <c r="S23" s="6"/>
      <c r="T23" s="6"/>
      <c r="U23" s="6"/>
      <c r="V23" s="1"/>
    </row>
    <row r="24" spans="1:28" x14ac:dyDescent="0.3">
      <c r="A24" s="2">
        <v>19</v>
      </c>
      <c r="B24" s="11">
        <v>4.4198657901663525</v>
      </c>
      <c r="C24" s="6">
        <f t="shared" si="0"/>
        <v>4.0065243902959313</v>
      </c>
      <c r="D24" s="8">
        <f t="shared" si="1"/>
        <v>4.8157068796629279</v>
      </c>
      <c r="E24" s="6"/>
      <c r="F24" s="6"/>
      <c r="G24" s="1"/>
      <c r="J24" s="2">
        <v>19</v>
      </c>
      <c r="K24" s="11">
        <v>14.634813451766968</v>
      </c>
      <c r="L24" s="6">
        <v>15.068698817491532</v>
      </c>
      <c r="M24" s="6">
        <v>14.903015577793122</v>
      </c>
      <c r="N24" s="6">
        <v>13.190500015020371</v>
      </c>
      <c r="O24" s="6">
        <v>16.216746687889099</v>
      </c>
      <c r="P24" s="8">
        <f t="shared" si="2"/>
        <v>14.881155552712444</v>
      </c>
      <c r="Q24" s="6"/>
      <c r="R24" s="6"/>
      <c r="S24" s="6"/>
      <c r="T24" s="6"/>
      <c r="U24" s="6"/>
      <c r="V24" s="1"/>
    </row>
    <row r="25" spans="1:28" x14ac:dyDescent="0.3">
      <c r="A25" s="2">
        <v>20</v>
      </c>
      <c r="B25" s="11">
        <v>-0.28322571516037032</v>
      </c>
      <c r="C25" s="6">
        <f t="shared" si="0"/>
        <v>4.4198657901663525</v>
      </c>
      <c r="D25" s="8">
        <f t="shared" si="1"/>
        <v>5.1888284489410976</v>
      </c>
      <c r="E25" s="6"/>
      <c r="F25" s="6"/>
      <c r="G25" s="1"/>
      <c r="J25" s="2">
        <v>20</v>
      </c>
      <c r="K25" s="11">
        <v>6.71299854516983</v>
      </c>
      <c r="L25" s="6">
        <v>6.6292564928531643</v>
      </c>
      <c r="M25" s="6">
        <v>4.8224483489990231</v>
      </c>
      <c r="N25" s="6">
        <v>6.0708238542079922</v>
      </c>
      <c r="O25" s="6">
        <v>7.6446890234947205</v>
      </c>
      <c r="P25" s="8">
        <f t="shared" si="2"/>
        <v>6.7432279002543964</v>
      </c>
      <c r="Q25" s="6"/>
      <c r="R25" s="6"/>
      <c r="S25" s="6"/>
      <c r="T25" s="6"/>
      <c r="U25" s="6"/>
      <c r="V25" s="1"/>
    </row>
    <row r="26" spans="1:28" x14ac:dyDescent="0.3">
      <c r="A26" s="2"/>
      <c r="B26" s="6"/>
      <c r="C26" s="6"/>
      <c r="D26" s="6"/>
      <c r="E26" s="6"/>
      <c r="F26" s="6"/>
      <c r="G26" s="1"/>
      <c r="J26" s="6"/>
      <c r="K26" s="6"/>
      <c r="L26" s="6"/>
      <c r="M26" s="6"/>
      <c r="N26" s="6"/>
      <c r="O26" s="1"/>
      <c r="P26" s="6"/>
      <c r="Q26" s="6"/>
      <c r="R26" s="6"/>
      <c r="S26" s="6"/>
      <c r="T26" s="6"/>
      <c r="U26" s="6"/>
      <c r="V26" s="1"/>
    </row>
    <row r="27" spans="1:28" x14ac:dyDescent="0.3">
      <c r="A27" s="2"/>
      <c r="B27" s="6"/>
      <c r="C27" s="6"/>
      <c r="D27" s="6"/>
      <c r="E27" s="6"/>
      <c r="F27" s="6"/>
      <c r="G27" s="1"/>
      <c r="J27" s="2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1"/>
    </row>
    <row r="28" spans="1:28" x14ac:dyDescent="0.3">
      <c r="A28" s="2"/>
      <c r="B28" s="6"/>
      <c r="C28" s="6"/>
      <c r="D28" s="6"/>
      <c r="E28" s="6"/>
      <c r="F28" s="6"/>
      <c r="G28" s="1"/>
      <c r="J28" s="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1"/>
    </row>
    <row r="29" spans="1:28" x14ac:dyDescent="0.3">
      <c r="A29" s="2"/>
      <c r="B29" s="6"/>
      <c r="C29" s="6"/>
      <c r="D29" s="6"/>
      <c r="E29" s="6"/>
      <c r="F29" s="6"/>
      <c r="G29" s="1"/>
      <c r="J29" s="2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1"/>
    </row>
    <row r="30" spans="1:28" x14ac:dyDescent="0.3">
      <c r="A30" s="2"/>
      <c r="B30" s="6"/>
      <c r="C30" s="6"/>
      <c r="D30" s="6"/>
      <c r="E30" s="6"/>
      <c r="F30" s="6"/>
      <c r="G30" s="1"/>
      <c r="J30" s="2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1"/>
    </row>
    <row r="31" spans="1:28" x14ac:dyDescent="0.3">
      <c r="A31" s="2"/>
      <c r="B31" s="6"/>
      <c r="C31" s="6"/>
      <c r="D31" s="6"/>
      <c r="E31" s="6"/>
      <c r="F31" s="6"/>
      <c r="G31" s="1"/>
      <c r="J31" s="2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1"/>
    </row>
    <row r="32" spans="1:28" x14ac:dyDescent="0.3">
      <c r="A32" s="2"/>
      <c r="B32" s="6"/>
      <c r="C32" s="6"/>
      <c r="D32" s="6"/>
      <c r="E32" s="6"/>
      <c r="F32" s="6"/>
      <c r="G32" s="1"/>
      <c r="J32" s="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1"/>
    </row>
    <row r="33" spans="1:25" x14ac:dyDescent="0.3">
      <c r="A33" s="2"/>
      <c r="B33" s="6"/>
      <c r="C33" s="6"/>
      <c r="D33" s="6"/>
      <c r="E33" s="6"/>
      <c r="F33" s="6"/>
      <c r="G33" s="1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1"/>
    </row>
    <row r="34" spans="1:25" x14ac:dyDescent="0.3">
      <c r="A34" s="2"/>
      <c r="B34" s="6"/>
      <c r="C34" s="6"/>
      <c r="D34" s="6"/>
      <c r="E34" s="6"/>
      <c r="F34" s="6"/>
      <c r="G34" s="1"/>
      <c r="J34" s="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1"/>
    </row>
    <row r="35" spans="1:25" x14ac:dyDescent="0.3">
      <c r="A35" s="2"/>
      <c r="B35" s="6"/>
      <c r="C35" s="6"/>
      <c r="D35" s="6"/>
      <c r="E35" s="6"/>
      <c r="F35" s="6"/>
      <c r="G35" s="1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1"/>
    </row>
    <row r="36" spans="1:25" x14ac:dyDescent="0.3">
      <c r="A36" s="2"/>
      <c r="B36" s="6"/>
      <c r="C36" s="6"/>
      <c r="D36" s="6"/>
      <c r="E36" s="6"/>
      <c r="F36" s="6"/>
      <c r="G36" s="1"/>
      <c r="J36" s="2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1"/>
    </row>
    <row r="37" spans="1:25" x14ac:dyDescent="0.3">
      <c r="A37" s="2"/>
      <c r="B37" s="6"/>
      <c r="C37" s="6"/>
      <c r="D37" s="6"/>
      <c r="E37" s="6"/>
      <c r="F37" s="6"/>
      <c r="G37" s="1"/>
      <c r="J37" s="2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1"/>
    </row>
    <row r="38" spans="1:25" x14ac:dyDescent="0.3">
      <c r="A38" s="5"/>
      <c r="B38" s="3"/>
      <c r="C38" s="3"/>
      <c r="D38" s="3"/>
      <c r="E38" s="3"/>
      <c r="F38" s="3"/>
      <c r="G38" s="4"/>
      <c r="J38" s="5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4"/>
    </row>
    <row r="42" spans="1:25" ht="16.5" customHeight="1" x14ac:dyDescent="0.3">
      <c r="A42" s="35" t="s">
        <v>5</v>
      </c>
      <c r="B42" s="36"/>
      <c r="C42" s="36"/>
      <c r="D42" s="36"/>
      <c r="E42" s="36"/>
      <c r="F42" s="36"/>
      <c r="G42" s="37"/>
      <c r="L42" s="35" t="s">
        <v>12</v>
      </c>
      <c r="M42" s="36"/>
      <c r="N42" s="36"/>
      <c r="O42" s="36"/>
      <c r="P42" s="36"/>
      <c r="Q42" s="36"/>
      <c r="R42" s="36"/>
      <c r="S42" s="36"/>
      <c r="T42" s="37"/>
    </row>
    <row r="43" spans="1:25" ht="16.5" customHeight="1" x14ac:dyDescent="0.3">
      <c r="A43" s="38"/>
      <c r="B43" s="39"/>
      <c r="C43" s="39"/>
      <c r="D43" s="39"/>
      <c r="E43" s="39"/>
      <c r="F43" s="39"/>
      <c r="G43" s="40"/>
      <c r="L43" s="38"/>
      <c r="M43" s="39"/>
      <c r="N43" s="39"/>
      <c r="O43" s="39"/>
      <c r="P43" s="39"/>
      <c r="Q43" s="39"/>
      <c r="R43" s="39"/>
      <c r="S43" s="39"/>
      <c r="T43" s="40"/>
    </row>
    <row r="44" spans="1:25" x14ac:dyDescent="0.3">
      <c r="A44" s="32" t="s">
        <v>26</v>
      </c>
      <c r="B44" s="33"/>
      <c r="C44" s="33"/>
      <c r="D44" s="33"/>
      <c r="E44" s="33"/>
      <c r="F44" s="33"/>
      <c r="G44" s="34"/>
      <c r="L44" s="32" t="s">
        <v>27</v>
      </c>
      <c r="M44" s="33"/>
      <c r="N44" s="33"/>
      <c r="O44" s="33"/>
      <c r="P44" s="33"/>
      <c r="Q44" s="33"/>
      <c r="R44" s="33"/>
      <c r="S44" s="33"/>
      <c r="T44" s="34"/>
    </row>
    <row r="45" spans="1:25" x14ac:dyDescent="0.3">
      <c r="A45" s="32"/>
      <c r="B45" s="33"/>
      <c r="C45" s="33"/>
      <c r="D45" s="33"/>
      <c r="E45" s="33"/>
      <c r="F45" s="33"/>
      <c r="G45" s="34"/>
      <c r="L45" s="32"/>
      <c r="M45" s="33"/>
      <c r="N45" s="33"/>
      <c r="O45" s="33"/>
      <c r="P45" s="33"/>
      <c r="Q45" s="33"/>
      <c r="R45" s="33"/>
      <c r="S45" s="33"/>
      <c r="T45" s="34"/>
    </row>
    <row r="46" spans="1:25" x14ac:dyDescent="0.3">
      <c r="A46" s="23" t="s">
        <v>15</v>
      </c>
      <c r="B46" s="24" t="s">
        <v>2</v>
      </c>
      <c r="C46" s="24" t="s">
        <v>8</v>
      </c>
      <c r="D46" s="24" t="s">
        <v>0</v>
      </c>
      <c r="E46" s="24"/>
      <c r="F46" s="21" t="s">
        <v>21</v>
      </c>
      <c r="G46" s="22" t="s">
        <v>1</v>
      </c>
      <c r="H46" s="32" t="s">
        <v>29</v>
      </c>
      <c r="I46" s="33"/>
      <c r="J46" s="33"/>
      <c r="K46" s="34"/>
      <c r="L46" s="23" t="s">
        <v>15</v>
      </c>
      <c r="M46" s="24" t="s">
        <v>2</v>
      </c>
      <c r="N46" s="6" t="s">
        <v>24</v>
      </c>
      <c r="O46" s="24" t="s">
        <v>8</v>
      </c>
      <c r="P46" s="25" t="s">
        <v>0</v>
      </c>
      <c r="Q46" s="24" t="s">
        <v>25</v>
      </c>
      <c r="R46" s="6"/>
      <c r="S46" s="21" t="s">
        <v>21</v>
      </c>
      <c r="T46" s="22" t="s">
        <v>1</v>
      </c>
      <c r="Y46" t="s">
        <v>31</v>
      </c>
    </row>
    <row r="47" spans="1:25" x14ac:dyDescent="0.3">
      <c r="A47" s="2">
        <v>1</v>
      </c>
      <c r="B47" s="10">
        <v>3.7081152200698853</v>
      </c>
      <c r="C47" s="6"/>
      <c r="D47" s="6"/>
      <c r="E47" s="6"/>
      <c r="F47" s="13">
        <f t="array" ref="F47:G47">LINEST(B48:B56,C48:C56,TRUE,TRUE)</f>
        <v>0.725246663256364</v>
      </c>
      <c r="G47" s="14">
        <v>0.49163554091740069</v>
      </c>
      <c r="H47" s="32"/>
      <c r="I47" s="33"/>
      <c r="J47" s="33"/>
      <c r="K47" s="34"/>
      <c r="L47" s="2">
        <v>1</v>
      </c>
      <c r="M47" s="10">
        <v>3.7081152200698853</v>
      </c>
      <c r="N47" s="6"/>
      <c r="O47" s="6"/>
      <c r="P47" s="6"/>
      <c r="Q47" s="6"/>
      <c r="R47" s="6"/>
      <c r="S47" s="13">
        <f t="array" ref="S47:T47">LINEST(N49:N57,O49:O57,TRUE,TRUE)</f>
        <v>5.4371000573558391E-2</v>
      </c>
      <c r="T47" s="14">
        <v>0.22073005129605502</v>
      </c>
    </row>
    <row r="48" spans="1:25" x14ac:dyDescent="0.3">
      <c r="A48" s="2">
        <v>2</v>
      </c>
      <c r="B48" s="15">
        <v>4.0876848697662354</v>
      </c>
      <c r="C48" s="13">
        <f>B47</f>
        <v>3.7081152200698853</v>
      </c>
      <c r="D48" s="6"/>
      <c r="E48" s="6"/>
      <c r="F48" s="6"/>
      <c r="G48" s="1"/>
      <c r="L48" s="2">
        <v>2</v>
      </c>
      <c r="M48" s="6">
        <v>4.0876848697662354</v>
      </c>
      <c r="N48" s="6">
        <f>M47-M48</f>
        <v>-0.3795696496963501</v>
      </c>
      <c r="O48" s="6"/>
      <c r="P48" s="6"/>
      <c r="Q48" s="6"/>
      <c r="R48" s="6"/>
      <c r="S48" s="6"/>
      <c r="T48" s="1"/>
    </row>
    <row r="49" spans="1:20" x14ac:dyDescent="0.3">
      <c r="A49" s="2">
        <v>3</v>
      </c>
      <c r="B49" s="15">
        <v>3.5960328578948975</v>
      </c>
      <c r="C49" s="13">
        <f t="shared" ref="C49:C66" si="3">B48</f>
        <v>4.0876848697662354</v>
      </c>
      <c r="D49" s="6"/>
      <c r="E49" s="6"/>
      <c r="F49" s="6"/>
      <c r="G49" s="1"/>
      <c r="L49" s="2">
        <v>3</v>
      </c>
      <c r="M49" s="6">
        <v>3.5960328578948975</v>
      </c>
      <c r="N49" s="13">
        <f t="shared" ref="N49:N66" si="4">M48-M49</f>
        <v>0.49165201187133789</v>
      </c>
      <c r="O49" s="13">
        <f>N48</f>
        <v>-0.3795696496963501</v>
      </c>
      <c r="P49" s="6"/>
      <c r="Q49" s="6"/>
      <c r="R49" s="6"/>
      <c r="S49" s="6"/>
      <c r="T49" s="1"/>
    </row>
    <row r="50" spans="1:20" x14ac:dyDescent="0.3">
      <c r="A50" s="2">
        <v>4</v>
      </c>
      <c r="B50" s="15">
        <v>2.6397987604141235</v>
      </c>
      <c r="C50" s="13">
        <f t="shared" si="3"/>
        <v>3.5960328578948975</v>
      </c>
      <c r="D50" s="6"/>
      <c r="E50" s="6"/>
      <c r="F50" s="6"/>
      <c r="G50" s="1"/>
      <c r="L50" s="2">
        <v>4</v>
      </c>
      <c r="M50" s="6">
        <v>2.6397987604141235</v>
      </c>
      <c r="N50" s="13">
        <f t="shared" si="4"/>
        <v>0.95623409748077393</v>
      </c>
      <c r="O50" s="13">
        <f t="shared" ref="O50:O66" si="5">N49</f>
        <v>0.49165201187133789</v>
      </c>
      <c r="P50" s="6"/>
      <c r="Q50" s="6"/>
      <c r="R50" s="6"/>
      <c r="S50" s="6"/>
      <c r="T50" s="1"/>
    </row>
    <row r="51" spans="1:20" x14ac:dyDescent="0.3">
      <c r="A51" s="2">
        <v>5</v>
      </c>
      <c r="B51" s="15">
        <v>2.1870521306991577</v>
      </c>
      <c r="C51" s="13">
        <f t="shared" si="3"/>
        <v>2.6397987604141235</v>
      </c>
      <c r="D51" s="6"/>
      <c r="E51" s="6"/>
      <c r="F51" s="6"/>
      <c r="G51" s="1"/>
      <c r="L51" s="2">
        <v>5</v>
      </c>
      <c r="M51" s="6">
        <v>2.1870521306991577</v>
      </c>
      <c r="N51" s="13">
        <f t="shared" si="4"/>
        <v>0.45274662971496582</v>
      </c>
      <c r="O51" s="13">
        <f t="shared" si="5"/>
        <v>0.95623409748077393</v>
      </c>
      <c r="P51" s="6"/>
      <c r="Q51" s="6"/>
      <c r="R51" s="6"/>
      <c r="S51" s="6"/>
      <c r="T51" s="1"/>
    </row>
    <row r="52" spans="1:20" x14ac:dyDescent="0.3">
      <c r="A52" s="2">
        <v>6</v>
      </c>
      <c r="B52" s="15">
        <v>1.2696194648742676</v>
      </c>
      <c r="C52" s="13">
        <f t="shared" si="3"/>
        <v>2.1870521306991577</v>
      </c>
      <c r="D52" s="6"/>
      <c r="E52" s="6"/>
      <c r="F52" s="6"/>
      <c r="G52" s="1"/>
      <c r="L52" s="2">
        <v>6</v>
      </c>
      <c r="M52" s="6">
        <v>1.2696194648742676</v>
      </c>
      <c r="N52" s="13">
        <f t="shared" si="4"/>
        <v>0.91743266582489014</v>
      </c>
      <c r="O52" s="13">
        <f t="shared" si="5"/>
        <v>0.45274662971496582</v>
      </c>
      <c r="P52" s="6"/>
      <c r="Q52" s="6"/>
      <c r="R52" s="6"/>
      <c r="S52" s="6"/>
      <c r="T52" s="1"/>
    </row>
    <row r="53" spans="1:20" x14ac:dyDescent="0.3">
      <c r="A53" s="2">
        <v>7</v>
      </c>
      <c r="B53" s="15">
        <v>1.4839158058166504</v>
      </c>
      <c r="C53" s="13">
        <f t="shared" si="3"/>
        <v>1.2696194648742676</v>
      </c>
      <c r="D53" s="6"/>
      <c r="E53" s="6"/>
      <c r="F53" s="6"/>
      <c r="G53" s="1"/>
      <c r="L53" s="2">
        <v>7</v>
      </c>
      <c r="M53" s="6">
        <v>1.4839158058166504</v>
      </c>
      <c r="N53" s="13">
        <f t="shared" si="4"/>
        <v>-0.21429634094238281</v>
      </c>
      <c r="O53" s="13">
        <f t="shared" si="5"/>
        <v>0.91743266582489014</v>
      </c>
      <c r="P53" s="6"/>
      <c r="Q53" s="6"/>
      <c r="R53" s="6"/>
      <c r="S53" s="6"/>
      <c r="T53" s="1"/>
    </row>
    <row r="54" spans="1:20" x14ac:dyDescent="0.3">
      <c r="A54" s="2">
        <v>8</v>
      </c>
      <c r="B54" s="15">
        <v>2.4650124311447144</v>
      </c>
      <c r="C54" s="13">
        <f t="shared" si="3"/>
        <v>1.4839158058166504</v>
      </c>
      <c r="D54" s="6"/>
      <c r="E54" s="6"/>
      <c r="F54" s="6"/>
      <c r="G54" s="1"/>
      <c r="L54" s="2">
        <v>8</v>
      </c>
      <c r="M54" s="6">
        <v>2.4650124311447144</v>
      </c>
      <c r="N54" s="13">
        <f t="shared" si="4"/>
        <v>-0.98109662532806396</v>
      </c>
      <c r="O54" s="13">
        <f t="shared" si="5"/>
        <v>-0.21429634094238281</v>
      </c>
      <c r="P54" s="6"/>
      <c r="Q54" s="6"/>
      <c r="R54" s="6"/>
      <c r="S54" s="6"/>
      <c r="T54" s="1"/>
    </row>
    <row r="55" spans="1:20" x14ac:dyDescent="0.3">
      <c r="A55" s="2">
        <v>9</v>
      </c>
      <c r="B55" s="15">
        <v>2.5347462892532349</v>
      </c>
      <c r="C55" s="13">
        <f t="shared" si="3"/>
        <v>2.4650124311447144</v>
      </c>
      <c r="D55" s="6"/>
      <c r="E55" s="6"/>
      <c r="F55" s="6"/>
      <c r="G55" s="1"/>
      <c r="L55" s="2">
        <v>9</v>
      </c>
      <c r="M55" s="6">
        <v>2.5347462892532349</v>
      </c>
      <c r="N55" s="13">
        <f t="shared" si="4"/>
        <v>-6.9733858108520508E-2</v>
      </c>
      <c r="O55" s="13">
        <f t="shared" si="5"/>
        <v>-0.98109662532806396</v>
      </c>
      <c r="P55" s="6"/>
      <c r="Q55" s="6"/>
      <c r="R55" s="6"/>
      <c r="S55" s="6"/>
      <c r="T55" s="1"/>
    </row>
    <row r="56" spans="1:20" x14ac:dyDescent="0.3">
      <c r="A56" s="2">
        <v>10</v>
      </c>
      <c r="B56" s="15">
        <v>1.5464541912078857</v>
      </c>
      <c r="C56" s="13">
        <f t="shared" si="3"/>
        <v>2.5347462892532349</v>
      </c>
      <c r="D56" s="6"/>
      <c r="E56" s="6"/>
      <c r="F56" s="6"/>
      <c r="G56" s="1"/>
      <c r="L56" s="2">
        <v>10</v>
      </c>
      <c r="M56" s="6">
        <v>1.5464541912078857</v>
      </c>
      <c r="N56" s="13">
        <f t="shared" si="4"/>
        <v>0.98829209804534912</v>
      </c>
      <c r="O56" s="13">
        <f t="shared" si="5"/>
        <v>-6.9733858108520508E-2</v>
      </c>
      <c r="P56" s="6"/>
      <c r="Q56" s="6"/>
      <c r="R56" s="6"/>
      <c r="S56" s="6"/>
      <c r="T56" s="1"/>
    </row>
    <row r="57" spans="1:20" x14ac:dyDescent="0.3">
      <c r="A57" s="2">
        <v>11</v>
      </c>
      <c r="B57" s="11">
        <v>1.9835827350616455</v>
      </c>
      <c r="C57" s="6">
        <f t="shared" si="3"/>
        <v>1.5464541912078857</v>
      </c>
      <c r="D57" s="8">
        <f>$G$47+$F$47*C57</f>
        <v>1.613196282969739</v>
      </c>
      <c r="E57" s="9" t="s">
        <v>14</v>
      </c>
      <c r="F57" s="6"/>
      <c r="G57" s="1"/>
      <c r="L57" s="2">
        <v>11</v>
      </c>
      <c r="M57" s="6">
        <v>1.9835827350616455</v>
      </c>
      <c r="N57" s="13">
        <f t="shared" si="4"/>
        <v>-0.43712854385375977</v>
      </c>
      <c r="O57" s="13">
        <f t="shared" si="5"/>
        <v>0.98829209804534912</v>
      </c>
      <c r="P57" s="6"/>
      <c r="Q57" s="8">
        <f>M57+P58</f>
        <v>2.180545670049109</v>
      </c>
      <c r="R57" s="9"/>
      <c r="S57" s="6"/>
      <c r="T57" s="1"/>
    </row>
    <row r="58" spans="1:20" x14ac:dyDescent="0.3">
      <c r="A58" s="2">
        <v>12</v>
      </c>
      <c r="B58" s="11">
        <v>2.7654210329055786</v>
      </c>
      <c r="C58" s="6">
        <f t="shared" si="3"/>
        <v>1.9835827350616455</v>
      </c>
      <c r="D58" s="8">
        <f t="shared" ref="D58:D66" si="6">$G$47+$F$47*C58</f>
        <v>1.9302223008137913</v>
      </c>
      <c r="E58" s="6"/>
      <c r="F58" s="6"/>
      <c r="G58" s="1"/>
      <c r="L58" s="2">
        <v>12</v>
      </c>
      <c r="M58" s="11">
        <v>2.7654210329055786</v>
      </c>
      <c r="N58" s="6">
        <f t="shared" si="4"/>
        <v>-0.78183829784393311</v>
      </c>
      <c r="O58" s="6">
        <f t="shared" si="5"/>
        <v>-0.43712854385375977</v>
      </c>
      <c r="P58" s="6">
        <f t="shared" ref="P58:P66" si="7">$T$47+$S$47*O58</f>
        <v>0.19696293498746351</v>
      </c>
      <c r="Q58" s="8">
        <f t="shared" ref="Q58:Q66" si="8">M58+P59</f>
        <v>2.9436417536611312</v>
      </c>
      <c r="S58" s="6"/>
      <c r="T58" s="1"/>
    </row>
    <row r="59" spans="1:20" x14ac:dyDescent="0.3">
      <c r="A59" s="2">
        <v>13</v>
      </c>
      <c r="B59" s="11">
        <v>2.5252150297164917</v>
      </c>
      <c r="C59" s="6">
        <f t="shared" si="3"/>
        <v>2.7654210329055786</v>
      </c>
      <c r="D59" s="8">
        <f t="shared" si="6"/>
        <v>2.4972479175311393</v>
      </c>
      <c r="E59" s="6"/>
      <c r="F59" s="6"/>
      <c r="G59" s="1"/>
      <c r="L59" s="2">
        <v>13</v>
      </c>
      <c r="M59" s="11">
        <v>2.5252150297164917</v>
      </c>
      <c r="N59" s="6">
        <f t="shared" si="4"/>
        <v>0.24020600318908691</v>
      </c>
      <c r="O59" s="6">
        <f t="shared" si="5"/>
        <v>-0.78183829784393311</v>
      </c>
      <c r="P59" s="6">
        <f t="shared" si="7"/>
        <v>0.17822072075555262</v>
      </c>
      <c r="Q59" s="8">
        <f t="shared" si="8"/>
        <v>2.7590053217497128</v>
      </c>
      <c r="R59" s="6"/>
      <c r="S59" s="6"/>
      <c r="T59" s="1"/>
    </row>
    <row r="60" spans="1:20" x14ac:dyDescent="0.3">
      <c r="A60" s="2">
        <v>14</v>
      </c>
      <c r="B60" s="11">
        <v>1.6898870468139648</v>
      </c>
      <c r="C60" s="6">
        <f t="shared" si="3"/>
        <v>2.5252150297164917</v>
      </c>
      <c r="D60" s="8">
        <f t="shared" si="6"/>
        <v>2.3230393152241064</v>
      </c>
      <c r="E60" s="6"/>
      <c r="F60" s="6"/>
      <c r="G60" s="1"/>
      <c r="L60" s="2">
        <v>14</v>
      </c>
      <c r="M60" s="11">
        <v>1.6898870468139648</v>
      </c>
      <c r="N60" s="6">
        <f t="shared" si="4"/>
        <v>0.83532798290252686</v>
      </c>
      <c r="O60" s="6">
        <f t="shared" si="5"/>
        <v>0.24020600318908691</v>
      </c>
      <c r="P60" s="6">
        <f t="shared" si="7"/>
        <v>0.23379029203322105</v>
      </c>
      <c r="Q60" s="8">
        <f t="shared" si="8"/>
        <v>1.9560347163475225</v>
      </c>
      <c r="R60" s="6"/>
      <c r="S60" s="6"/>
      <c r="T60" s="1"/>
    </row>
    <row r="61" spans="1:20" x14ac:dyDescent="0.3">
      <c r="A61" s="2">
        <v>15</v>
      </c>
      <c r="B61" s="11">
        <v>2.4986896514892578</v>
      </c>
      <c r="C61" s="6">
        <f t="shared" si="3"/>
        <v>1.6898870468139648</v>
      </c>
      <c r="D61" s="8">
        <f t="shared" si="6"/>
        <v>1.7172204828993798</v>
      </c>
      <c r="E61" s="6"/>
      <c r="F61" s="6"/>
      <c r="G61" s="1"/>
      <c r="L61" s="2">
        <v>15</v>
      </c>
      <c r="M61" s="11">
        <v>2.4986896514892578</v>
      </c>
      <c r="N61" s="6">
        <f t="shared" si="4"/>
        <v>-0.80880260467529297</v>
      </c>
      <c r="O61" s="6">
        <f t="shared" si="5"/>
        <v>0.83532798290252686</v>
      </c>
      <c r="P61" s="6">
        <f t="shared" si="7"/>
        <v>0.26614766953355767</v>
      </c>
      <c r="Q61" s="8">
        <f t="shared" si="8"/>
        <v>2.6754442959026168</v>
      </c>
      <c r="R61" s="6"/>
      <c r="S61" s="6"/>
      <c r="T61" s="1"/>
    </row>
    <row r="62" spans="1:20" x14ac:dyDescent="0.3">
      <c r="A62" s="2">
        <v>16</v>
      </c>
      <c r="B62" s="11">
        <v>2.1738065481185913</v>
      </c>
      <c r="C62" s="6">
        <f t="shared" si="3"/>
        <v>2.4986896514892578</v>
      </c>
      <c r="D62" s="8">
        <f t="shared" si="6"/>
        <v>2.303801873173192</v>
      </c>
      <c r="E62" s="6"/>
      <c r="F62" s="6"/>
      <c r="G62" s="1"/>
      <c r="L62" s="2">
        <v>16</v>
      </c>
      <c r="M62" s="11">
        <v>2.1738065481185913</v>
      </c>
      <c r="N62" s="6">
        <f t="shared" si="4"/>
        <v>0.3248831033706665</v>
      </c>
      <c r="O62" s="6">
        <f t="shared" si="5"/>
        <v>-0.80880260467529297</v>
      </c>
      <c r="P62" s="6">
        <f t="shared" si="7"/>
        <v>0.17675464441335914</v>
      </c>
      <c r="Q62" s="8">
        <f t="shared" si="8"/>
        <v>2.4122008188143522</v>
      </c>
      <c r="R62" s="6"/>
      <c r="S62" s="6"/>
      <c r="T62" s="1"/>
    </row>
    <row r="63" spans="1:20" x14ac:dyDescent="0.3">
      <c r="A63" s="2">
        <v>17</v>
      </c>
      <c r="B63" s="11">
        <v>1.7288624048233032</v>
      </c>
      <c r="C63" s="6">
        <f t="shared" si="3"/>
        <v>2.1738065481185913</v>
      </c>
      <c r="D63" s="8">
        <f t="shared" si="6"/>
        <v>2.0681814865052437</v>
      </c>
      <c r="E63" s="6"/>
      <c r="F63" s="6"/>
      <c r="G63" s="1"/>
      <c r="L63" s="2">
        <v>17</v>
      </c>
      <c r="M63" s="11">
        <v>1.7288624048233032</v>
      </c>
      <c r="N63" s="6">
        <f t="shared" si="4"/>
        <v>0.44494414329528809</v>
      </c>
      <c r="O63" s="6">
        <f t="shared" si="5"/>
        <v>0.3248831033706665</v>
      </c>
      <c r="P63" s="6">
        <f t="shared" si="7"/>
        <v>0.23839427069576097</v>
      </c>
      <c r="Q63" s="8">
        <f t="shared" si="8"/>
        <v>1.9737845143896677</v>
      </c>
      <c r="R63" s="6"/>
      <c r="S63" s="6"/>
      <c r="T63" s="1"/>
    </row>
    <row r="64" spans="1:20" x14ac:dyDescent="0.3">
      <c r="A64" s="2">
        <v>18</v>
      </c>
      <c r="B64" s="11">
        <v>2.5824558734893799</v>
      </c>
      <c r="C64" s="6">
        <f t="shared" si="3"/>
        <v>1.7288624048233032</v>
      </c>
      <c r="D64" s="8">
        <f t="shared" si="6"/>
        <v>1.7454872312448746</v>
      </c>
      <c r="E64" s="6"/>
      <c r="F64" s="6"/>
      <c r="G64" s="1"/>
      <c r="L64" s="2">
        <v>18</v>
      </c>
      <c r="M64" s="11">
        <v>2.5824558734893799</v>
      </c>
      <c r="N64" s="6">
        <f t="shared" si="4"/>
        <v>-0.85359346866607666</v>
      </c>
      <c r="O64" s="6">
        <f t="shared" si="5"/>
        <v>0.44494414329528809</v>
      </c>
      <c r="P64" s="6">
        <f t="shared" si="7"/>
        <v>0.24492210956636457</v>
      </c>
      <c r="Q64" s="8">
        <f t="shared" si="8"/>
        <v>2.7567751938110061</v>
      </c>
      <c r="R64" s="6"/>
      <c r="S64" s="6"/>
      <c r="T64" s="1"/>
    </row>
    <row r="65" spans="1:20" x14ac:dyDescent="0.3">
      <c r="A65" s="2">
        <v>19</v>
      </c>
      <c r="B65" s="11">
        <v>1.6003730297088623</v>
      </c>
      <c r="C65" s="6">
        <f t="shared" si="3"/>
        <v>2.5824558734893799</v>
      </c>
      <c r="D65" s="8">
        <f t="shared" si="6"/>
        <v>2.3645530461723725</v>
      </c>
      <c r="E65" s="6"/>
      <c r="F65" s="6"/>
      <c r="G65" s="1"/>
      <c r="L65" s="2">
        <v>19</v>
      </c>
      <c r="M65" s="11">
        <v>1.6003730297088623</v>
      </c>
      <c r="N65" s="6">
        <f t="shared" si="4"/>
        <v>0.98208284378051758</v>
      </c>
      <c r="O65" s="6">
        <f t="shared" si="5"/>
        <v>-0.85359346866607666</v>
      </c>
      <c r="P65" s="6">
        <f t="shared" si="7"/>
        <v>0.17431932032162606</v>
      </c>
      <c r="Q65" s="8">
        <f t="shared" si="8"/>
        <v>1.8744999078673898</v>
      </c>
      <c r="R65" s="6"/>
      <c r="S65" s="6"/>
      <c r="T65" s="1"/>
    </row>
    <row r="66" spans="1:20" x14ac:dyDescent="0.3">
      <c r="A66" s="2">
        <v>20</v>
      </c>
      <c r="B66" s="11">
        <v>1.3205095529556274</v>
      </c>
      <c r="C66" s="6">
        <f t="shared" si="3"/>
        <v>1.6003730297088623</v>
      </c>
      <c r="D66" s="8">
        <f t="shared" si="6"/>
        <v>1.6523007406792309</v>
      </c>
      <c r="E66" s="6"/>
      <c r="F66" s="6"/>
      <c r="G66" s="1"/>
      <c r="L66" s="2">
        <v>20</v>
      </c>
      <c r="M66" s="11">
        <v>1.3205095529556274</v>
      </c>
      <c r="N66" s="6">
        <f t="shared" si="4"/>
        <v>0.27986347675323486</v>
      </c>
      <c r="O66" s="6">
        <f t="shared" si="5"/>
        <v>0.98208284378051758</v>
      </c>
      <c r="P66" s="6">
        <f t="shared" si="7"/>
        <v>0.27412687815852743</v>
      </c>
      <c r="Q66" s="8">
        <f t="shared" si="8"/>
        <v>1.3205095529556274</v>
      </c>
      <c r="R66" s="6"/>
      <c r="S66" s="6"/>
      <c r="T66" s="1"/>
    </row>
    <row r="67" spans="1:20" x14ac:dyDescent="0.3">
      <c r="A67" s="2"/>
      <c r="B67" s="6"/>
      <c r="C67" s="6"/>
      <c r="D67" s="6"/>
      <c r="E67" s="6"/>
      <c r="F67" s="6"/>
      <c r="G67" s="1"/>
      <c r="L67" s="2"/>
      <c r="M67" s="6"/>
      <c r="N67" s="6"/>
      <c r="O67" s="6"/>
      <c r="P67" s="6"/>
      <c r="Q67" s="6"/>
      <c r="R67" s="6"/>
      <c r="S67" s="6"/>
      <c r="T67" s="1"/>
    </row>
    <row r="68" spans="1:20" x14ac:dyDescent="0.3">
      <c r="A68" s="2"/>
      <c r="B68" s="6"/>
      <c r="C68" s="6"/>
      <c r="D68" s="6"/>
      <c r="E68" s="6"/>
      <c r="F68" s="6"/>
      <c r="G68" s="1"/>
      <c r="L68" s="2"/>
      <c r="M68" s="6"/>
      <c r="N68" s="6"/>
      <c r="O68" s="6"/>
      <c r="P68" s="6"/>
      <c r="Q68" s="6"/>
      <c r="R68" s="6"/>
      <c r="S68" s="6"/>
      <c r="T68" s="1"/>
    </row>
    <row r="69" spans="1:20" x14ac:dyDescent="0.3">
      <c r="A69" s="2"/>
      <c r="B69" s="6"/>
      <c r="C69" s="6"/>
      <c r="D69" s="6"/>
      <c r="E69" s="6"/>
      <c r="F69" s="6"/>
      <c r="G69" s="1"/>
      <c r="L69" s="2"/>
      <c r="M69" s="6"/>
      <c r="N69" s="6"/>
      <c r="O69" s="6"/>
      <c r="P69" s="6"/>
      <c r="Q69" s="6"/>
      <c r="R69" s="6"/>
      <c r="S69" s="6"/>
      <c r="T69" s="1"/>
    </row>
    <row r="70" spans="1:20" x14ac:dyDescent="0.3">
      <c r="A70" s="2"/>
      <c r="B70" s="6"/>
      <c r="C70" s="6"/>
      <c r="D70" s="6"/>
      <c r="E70" s="6"/>
      <c r="F70" s="6"/>
      <c r="G70" s="1"/>
      <c r="L70" s="2"/>
      <c r="M70" s="6"/>
      <c r="N70" s="6"/>
      <c r="O70" s="6"/>
      <c r="P70" s="6"/>
      <c r="Q70" s="6"/>
      <c r="R70" s="6"/>
      <c r="S70" s="6"/>
      <c r="T70" s="1"/>
    </row>
    <row r="71" spans="1:20" x14ac:dyDescent="0.3">
      <c r="A71" s="2"/>
      <c r="B71" s="6"/>
      <c r="C71" s="6"/>
      <c r="D71" s="6"/>
      <c r="E71" s="6"/>
      <c r="F71" s="6"/>
      <c r="G71" s="1"/>
      <c r="L71" s="2"/>
      <c r="M71" s="6"/>
      <c r="N71" s="6"/>
      <c r="O71" s="6"/>
      <c r="P71" s="6"/>
      <c r="Q71" s="6"/>
      <c r="R71" s="6"/>
      <c r="S71" s="6"/>
      <c r="T71" s="1"/>
    </row>
    <row r="72" spans="1:20" x14ac:dyDescent="0.3">
      <c r="A72" s="2"/>
      <c r="B72" s="6"/>
      <c r="C72" s="6"/>
      <c r="D72" s="6"/>
      <c r="E72" s="6"/>
      <c r="F72" s="6"/>
      <c r="G72" s="1"/>
      <c r="L72" s="2"/>
      <c r="M72" s="6"/>
      <c r="N72" s="6"/>
      <c r="O72" s="6"/>
      <c r="P72" s="6"/>
      <c r="Q72" s="6"/>
      <c r="R72" s="6"/>
      <c r="S72" s="6"/>
      <c r="T72" s="1"/>
    </row>
    <row r="73" spans="1:20" x14ac:dyDescent="0.3">
      <c r="A73" s="2"/>
      <c r="B73" s="6"/>
      <c r="C73" s="6"/>
      <c r="D73" s="6"/>
      <c r="E73" s="6"/>
      <c r="F73" s="6"/>
      <c r="G73" s="1"/>
      <c r="L73" s="2"/>
      <c r="M73" s="6"/>
      <c r="N73" s="6"/>
      <c r="O73" s="6"/>
      <c r="P73" s="6"/>
      <c r="Q73" s="6"/>
      <c r="R73" s="6"/>
      <c r="S73" s="6"/>
      <c r="T73" s="1"/>
    </row>
    <row r="74" spans="1:20" x14ac:dyDescent="0.3">
      <c r="A74" s="2"/>
      <c r="B74" s="6"/>
      <c r="C74" s="6"/>
      <c r="D74" s="6"/>
      <c r="E74" s="6"/>
      <c r="F74" s="6"/>
      <c r="G74" s="1"/>
      <c r="L74" s="2"/>
      <c r="M74" s="6"/>
      <c r="N74" s="6"/>
      <c r="O74" s="6"/>
      <c r="P74" s="6"/>
      <c r="Q74" s="6"/>
      <c r="R74" s="6"/>
      <c r="S74" s="6"/>
      <c r="T74" s="1"/>
    </row>
    <row r="75" spans="1:20" x14ac:dyDescent="0.3">
      <c r="A75" s="2"/>
      <c r="B75" s="6"/>
      <c r="C75" s="6"/>
      <c r="D75" s="6"/>
      <c r="E75" s="6"/>
      <c r="F75" s="6"/>
      <c r="G75" s="1"/>
      <c r="L75" s="2"/>
      <c r="M75" s="6"/>
      <c r="N75" s="6"/>
      <c r="O75" s="6"/>
      <c r="P75" s="6"/>
      <c r="Q75" s="6"/>
      <c r="R75" s="6"/>
      <c r="S75" s="6"/>
      <c r="T75" s="1"/>
    </row>
    <row r="76" spans="1:20" x14ac:dyDescent="0.3">
      <c r="A76" s="2"/>
      <c r="B76" s="6"/>
      <c r="C76" s="6"/>
      <c r="D76" s="6"/>
      <c r="E76" s="6"/>
      <c r="F76" s="6"/>
      <c r="G76" s="1"/>
      <c r="L76" s="2"/>
      <c r="M76" s="6"/>
      <c r="N76" s="6"/>
      <c r="O76" s="6"/>
      <c r="P76" s="6"/>
      <c r="Q76" s="6"/>
      <c r="R76" s="6"/>
      <c r="S76" s="6"/>
      <c r="T76" s="1"/>
    </row>
    <row r="77" spans="1:20" x14ac:dyDescent="0.3">
      <c r="A77" s="2"/>
      <c r="B77" s="6"/>
      <c r="C77" s="6"/>
      <c r="D77" s="6"/>
      <c r="E77" s="6"/>
      <c r="F77" s="6"/>
      <c r="G77" s="1"/>
      <c r="L77" s="2"/>
      <c r="M77" s="6"/>
      <c r="N77" s="6"/>
      <c r="O77" s="6"/>
      <c r="P77" s="6"/>
      <c r="Q77" s="6"/>
      <c r="R77" s="6"/>
      <c r="S77" s="6"/>
      <c r="T77" s="1"/>
    </row>
    <row r="78" spans="1:20" x14ac:dyDescent="0.3">
      <c r="A78" s="2"/>
      <c r="B78" s="6"/>
      <c r="C78" s="6"/>
      <c r="D78" s="6"/>
      <c r="E78" s="6"/>
      <c r="F78" s="6"/>
      <c r="G78" s="1"/>
      <c r="L78" s="2"/>
      <c r="M78" s="6"/>
      <c r="N78" s="6"/>
      <c r="O78" s="6"/>
      <c r="P78" s="6"/>
      <c r="Q78" s="6"/>
      <c r="R78" s="6"/>
      <c r="S78" s="6"/>
      <c r="T78" s="1"/>
    </row>
    <row r="79" spans="1:20" x14ac:dyDescent="0.3">
      <c r="A79" s="5"/>
      <c r="B79" s="3"/>
      <c r="C79" s="3"/>
      <c r="D79" s="3"/>
      <c r="E79" s="3"/>
      <c r="F79" s="3"/>
      <c r="G79" s="4"/>
      <c r="L79" s="5"/>
      <c r="M79" s="3"/>
      <c r="N79" s="3"/>
      <c r="O79" s="3"/>
      <c r="P79" s="3"/>
      <c r="Q79" s="3"/>
      <c r="R79" s="3"/>
      <c r="S79" s="3"/>
      <c r="T79" s="4"/>
    </row>
  </sheetData>
  <mergeCells count="19">
    <mergeCell ref="Y5:AB11"/>
    <mergeCell ref="Y17:AB17"/>
    <mergeCell ref="Y18:AB20"/>
    <mergeCell ref="Y2:AB3"/>
    <mergeCell ref="Y12:AB12"/>
    <mergeCell ref="Y13:AB15"/>
    <mergeCell ref="Y16:AB16"/>
    <mergeCell ref="Y4:AB4"/>
    <mergeCell ref="A44:G45"/>
    <mergeCell ref="L44:T45"/>
    <mergeCell ref="S7:V8"/>
    <mergeCell ref="H46:K47"/>
    <mergeCell ref="A1:G2"/>
    <mergeCell ref="J1:V2"/>
    <mergeCell ref="A3:G4"/>
    <mergeCell ref="J3:V4"/>
    <mergeCell ref="E7:G8"/>
    <mergeCell ref="A42:G43"/>
    <mergeCell ref="L42:T4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GenerateLinearData">
                <anchor moveWithCells="1" sizeWithCells="1">
                  <from>
                    <xdr:col>4</xdr:col>
                    <xdr:colOff>638175</xdr:colOff>
                    <xdr:row>8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RandomWalk">
                <anchor moveWithCells="1" siz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666750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GeneratePatternData">
                <anchor moveWithCells="1" sizeWithCells="1">
                  <from>
                    <xdr:col>19</xdr:col>
                    <xdr:colOff>9525</xdr:colOff>
                    <xdr:row>8</xdr:row>
                    <xdr:rowOff>19050</xdr:rowOff>
                  </from>
                  <to>
                    <xdr:col>21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ARIMA계산과정</vt:lpstr>
      <vt:lpstr>MA추가예정</vt:lpstr>
      <vt:lpstr>ARIMA_test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jhpark</dc:creator>
  <cp:lastModifiedBy>jhpark</cp:lastModifiedBy>
  <dcterms:created xsi:type="dcterms:W3CDTF">2025-02-26T04:01:33Z</dcterms:created>
  <dcterms:modified xsi:type="dcterms:W3CDTF">2025-03-04T08:07:06Z</dcterms:modified>
</cp:coreProperties>
</file>