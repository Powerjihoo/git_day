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hpark\Desktop\"/>
    </mc:Choice>
  </mc:AlternateContent>
  <xr:revisionPtr revIDLastSave="0" documentId="13_ncr:1_{5DFADA34-6DDA-4FA0-9A0B-8D4865BF8F47}" xr6:coauthVersionLast="36" xr6:coauthVersionMax="46" xr10:uidLastSave="{00000000-0000-0000-0000-000000000000}"/>
  <bookViews>
    <workbookView xWindow="-28920" yWindow="-120" windowWidth="29040" windowHeight="15720" activeTab="2" xr2:uid="{8DB67CA5-226A-433A-AC0A-C2258A8D7DFE}"/>
  </bookViews>
  <sheets>
    <sheet name="ARIMA계산과정" sheetId="8" r:id="rId1"/>
    <sheet name="MA추가예정" sheetId="10" r:id="rId2"/>
    <sheet name="ARIMA_test)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12" l="1"/>
  <c r="L24" i="12"/>
  <c r="M25" i="12" s="1"/>
  <c r="L23" i="12"/>
  <c r="M24" i="12" s="1"/>
  <c r="N25" i="12" s="1"/>
  <c r="L22" i="12"/>
  <c r="M23" i="12" s="1"/>
  <c r="N24" i="12" s="1"/>
  <c r="O25" i="12" s="1"/>
  <c r="L21" i="12"/>
  <c r="M22" i="12" s="1"/>
  <c r="N23" i="12" s="1"/>
  <c r="O24" i="12" s="1"/>
  <c r="L20" i="12"/>
  <c r="M21" i="12" s="1"/>
  <c r="N22" i="12" s="1"/>
  <c r="O23" i="12" s="1"/>
  <c r="L19" i="12"/>
  <c r="M20" i="12" s="1"/>
  <c r="N21" i="12" s="1"/>
  <c r="O22" i="12" s="1"/>
  <c r="L18" i="12"/>
  <c r="M19" i="12" s="1"/>
  <c r="N20" i="12" s="1"/>
  <c r="O21" i="12" s="1"/>
  <c r="L17" i="12"/>
  <c r="M18" i="12" s="1"/>
  <c r="N19" i="12" s="1"/>
  <c r="O20" i="12" s="1"/>
  <c r="L16" i="12"/>
  <c r="M17" i="12" s="1"/>
  <c r="N18" i="12" s="1"/>
  <c r="O19" i="12" s="1"/>
  <c r="L15" i="12"/>
  <c r="M16" i="12" s="1"/>
  <c r="N17" i="12" s="1"/>
  <c r="O18" i="12" s="1"/>
  <c r="L14" i="12"/>
  <c r="M15" i="12" s="1"/>
  <c r="N16" i="12" s="1"/>
  <c r="O17" i="12" s="1"/>
  <c r="L13" i="12"/>
  <c r="M14" i="12" s="1"/>
  <c r="N15" i="12" s="1"/>
  <c r="O16" i="12" s="1"/>
  <c r="L12" i="12"/>
  <c r="M13" i="12" s="1"/>
  <c r="N14" i="12" s="1"/>
  <c r="O15" i="12" s="1"/>
  <c r="L11" i="12"/>
  <c r="M12" i="12" s="1"/>
  <c r="N13" i="12" s="1"/>
  <c r="O14" i="12" s="1"/>
  <c r="L10" i="12"/>
  <c r="M11" i="12" s="1"/>
  <c r="N12" i="12" s="1"/>
  <c r="O13" i="12" s="1"/>
  <c r="L9" i="12"/>
  <c r="M10" i="12" s="1"/>
  <c r="N11" i="12" s="1"/>
  <c r="O12" i="12" s="1"/>
  <c r="L8" i="12"/>
  <c r="M9" i="12" s="1"/>
  <c r="N10" i="12" s="1"/>
  <c r="O11" i="12" s="1"/>
  <c r="L7" i="12"/>
  <c r="M8" i="12" s="1"/>
  <c r="N9" i="12" s="1"/>
  <c r="O10" i="12" s="1"/>
  <c r="C17" i="12"/>
  <c r="C18" i="12"/>
  <c r="C19" i="12"/>
  <c r="C20" i="12"/>
  <c r="C21" i="12"/>
  <c r="C22" i="12"/>
  <c r="C23" i="12"/>
  <c r="C24" i="12"/>
  <c r="C25" i="12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D23" i="12" s="1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8" i="12"/>
  <c r="D17" i="12"/>
  <c r="D19" i="12"/>
  <c r="D25" i="12"/>
  <c r="D24" i="12"/>
  <c r="D22" i="12"/>
  <c r="D21" i="12"/>
  <c r="D20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Q57" i="12" s="1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D24" i="8" l="1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H18" i="10" l="1" a="1"/>
  <c r="H18" i="10" s="1"/>
  <c r="U6" i="8"/>
  <c r="R6" i="8"/>
  <c r="T6" i="8"/>
  <c r="S6" i="8"/>
  <c r="V6" i="8"/>
  <c r="P16" i="8" l="1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<sst xmlns="http://schemas.openxmlformats.org/spreadsheetml/2006/main" count="99" uniqueCount="31">
  <si>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</si>
  <si>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</si>
  <si>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</si>
  <si>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</si>
  <si>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</si>
  <si>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</si>
  <si>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</si>
  <si>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</si>
  <si>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</si>
  <si>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</si>
  <si>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</si>
  <si>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</si>
  <si>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</si>
  <si>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</si>
  <si>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</si>
  <si>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</si>
  <si>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</si>
  <si>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</si>
  <si>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</si>
  <si>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</si>
  <si>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</si>
  <si>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</si>
  <si>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</si>
  <si>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</si>
  <si>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</si>
  <si>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</si>
  <si>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</si>
  <si>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</si>
  <si>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4번째 이전의 값에도 영향을 받음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</si>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</sst>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5" fillId="5" borderId="0" xfId="4" applyBorder="1">
      <alignment vertical="center"/>
    </xf>
    <xf numFmtId="0" fontId="0" fillId="0" borderId="0" xfId="0" quotePrefix="1" applyFill="1" applyBorder="1">
      <alignment vertical="center"/>
    </xf>
    <xf numFmtId="0" fontId="0" fillId="0" borderId="0" xfId="0" applyBorder="1" applyAlignment="1">
      <alignment vertical="center" wrapText="1"/>
    </xf>
    <xf numFmtId="0" fontId="5" fillId="4" borderId="0" xfId="3" applyBorder="1" applyAlignment="1">
      <alignment vertical="center" wrapText="1"/>
    </xf>
    <xf numFmtId="0" fontId="0" fillId="0" borderId="0" xfId="0" quotePrefix="1" applyBorder="1">
      <alignment vertical="center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'ARIMA_test)'!$K$6:$K$26</c:f>
              <c:numCache>
                <c:formatCode>General</c:formatCode>
                <c:ptCount val="21"/>
                <c:pt idx="0">
                  <c:v>5.8730583219579415</c:v>
                </c:pt>
                <c:pt idx="1">
                  <c:v>5.0975064578310949</c:v>
                </c:pt>
                <c:pt idx="2">
                  <c:v>9.7304425589809256</c:v>
                </c:pt>
                <c:pt idx="3">
                  <c:v>11.650017841417588</c:v>
                </c:pt>
                <c:pt idx="4">
                  <c:v>5.2511460540291885</c:v>
                </c:pt>
                <c:pt idx="5">
                  <c:v>6.1422317858764579</c:v>
                </c:pt>
                <c:pt idx="6">
                  <c:v>5.4620547731667788</c:v>
                </c:pt>
                <c:pt idx="7">
                  <c:v>10.83538624909761</c:v>
                </c:pt>
                <c:pt idx="8">
                  <c:v>12.197359515508319</c:v>
                </c:pt>
                <c:pt idx="9">
                  <c:v>5.280364112652574</c:v>
                </c:pt>
                <c:pt idx="10">
                  <c:v>5.4304681571057376</c:v>
                </c:pt>
                <c:pt idx="11">
                  <c:v>4.7394136686308848</c:v>
                </c:pt>
                <c:pt idx="12">
                  <c:v>10.871809971182339</c:v>
                </c:pt>
                <c:pt idx="13">
                  <c:v>12.166736429167599</c:v>
                </c:pt>
                <c:pt idx="14">
                  <c:v>5.9352507443669609</c:v>
                </c:pt>
                <c:pt idx="15">
                  <c:v>5.8755411727125555</c:v>
                </c:pt>
                <c:pt idx="16">
                  <c:v>6.2430742261499157</c:v>
                </c:pt>
                <c:pt idx="17">
                  <c:v>9.4359690357770027</c:v>
                </c:pt>
                <c:pt idx="18">
                  <c:v>13.190859918242962</c:v>
                </c:pt>
                <c:pt idx="19">
                  <c:v>5.0392819670412665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'ARIMA_test)'!$P$5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'ARIMA_test)'!$P$6:$P$25</c:f>
              <c:numCache>
                <c:formatCode>General</c:formatCode>
                <c:ptCount val="20"/>
                <c:pt idx="10">
                  <c:v>3.7660128381411555</c:v>
                </c:pt>
                <c:pt idx="11">
                  <c:v>4.5346140737991902</c:v>
                </c:pt>
                <c:pt idx="12">
                  <c:v>11.633063553116141</c:v>
                </c:pt>
                <c:pt idx="13">
                  <c:v>13.393492132595423</c:v>
                </c:pt>
                <c:pt idx="14">
                  <c:v>5.7718745451171074</c:v>
                </c:pt>
                <c:pt idx="15">
                  <c:v>3.8647238421393419</c:v>
                </c:pt>
                <c:pt idx="16">
                  <c:v>3.3567374668829082</c:v>
                </c:pt>
                <c:pt idx="17">
                  <c:v>8.9593398600542713</c:v>
                </c:pt>
                <c:pt idx="18">
                  <c:v>11.86577023403634</c:v>
                </c:pt>
                <c:pt idx="19">
                  <c:v>4.2505497107619714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'ARIMA_test)'!$B$6:$B$25</c:f>
              <c:numCache>
                <c:formatCode>General</c:formatCode>
                <c:ptCount val="20"/>
                <c:pt idx="0">
                  <c:v>21.704817698926689</c:v>
                </c:pt>
                <c:pt idx="1">
                  <c:v>20.507953938014346</c:v>
                </c:pt>
                <c:pt idx="2">
                  <c:v>16.611871607420184</c:v>
                </c:pt>
                <c:pt idx="3">
                  <c:v>16.567416749653724</c:v>
                </c:pt>
                <c:pt idx="4">
                  <c:v>17.205584098968881</c:v>
                </c:pt>
                <c:pt idx="5">
                  <c:v>15.432979297871894</c:v>
                </c:pt>
                <c:pt idx="6">
                  <c:v>15.799797058056651</c:v>
                </c:pt>
                <c:pt idx="7">
                  <c:v>14.990530014056528</c:v>
                </c:pt>
                <c:pt idx="8">
                  <c:v>10.445313992876748</c:v>
                </c:pt>
                <c:pt idx="9">
                  <c:v>9.4657043581749267</c:v>
                </c:pt>
                <c:pt idx="10">
                  <c:v>11.921489149787824</c:v>
                </c:pt>
                <c:pt idx="11">
                  <c:v>10.788191252899145</c:v>
                </c:pt>
                <c:pt idx="12">
                  <c:v>7.9779523276253679</c:v>
                </c:pt>
                <c:pt idx="13">
                  <c:v>8.0990760788540133</c:v>
                </c:pt>
                <c:pt idx="14">
                  <c:v>4.0699603136737519</c:v>
                </c:pt>
                <c:pt idx="15">
                  <c:v>4.4261546980999533</c:v>
                </c:pt>
                <c:pt idx="16">
                  <c:v>3.2323801459339054</c:v>
                </c:pt>
                <c:pt idx="17">
                  <c:v>4.1131174110380382</c:v>
                </c:pt>
                <c:pt idx="18">
                  <c:v>0.6914300445549415</c:v>
                </c:pt>
                <c:pt idx="19">
                  <c:v>1.6323801820199058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'ARIMA_test)'!$D$5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'ARIMA_test)'!$D$6:$D$25</c:f>
              <c:numCache>
                <c:formatCode>General</c:formatCode>
                <c:ptCount val="20"/>
                <c:pt idx="10">
                  <c:v>8.8711237053972454</c:v>
                </c:pt>
                <c:pt idx="11">
                  <c:v>11.06291803235616</c:v>
                </c:pt>
                <c:pt idx="12">
                  <c:v>10.051446705699854</c:v>
                </c:pt>
                <c:pt idx="13">
                  <c:v>7.5433011406445383</c:v>
                </c:pt>
                <c:pt idx="14">
                  <c:v>7.6514044042976082</c:v>
                </c:pt>
                <c:pt idx="15">
                  <c:v>4.0554080829005477</c:v>
                </c:pt>
                <c:pt idx="16">
                  <c:v>4.3733124993405665</c:v>
                </c:pt>
                <c:pt idx="17">
                  <c:v>3.3078656002305649</c:v>
                </c:pt>
                <c:pt idx="18">
                  <c:v>4.09392590477733</c:v>
                </c:pt>
                <c:pt idx="19">
                  <c:v>1.0400610123414291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'ARIMA_test)'!$B$47:$B$66</c:f>
              <c:numCache>
                <c:formatCode>General</c:formatCode>
                <c:ptCount val="20"/>
                <c:pt idx="0">
                  <c:v>0.71773511862965789</c:v>
                </c:pt>
                <c:pt idx="1">
                  <c:v>-0.42851795534725867</c:v>
                </c:pt>
                <c:pt idx="2">
                  <c:v>0.40556756856567822</c:v>
                </c:pt>
                <c:pt idx="3">
                  <c:v>1.0616932201525808</c:v>
                </c:pt>
                <c:pt idx="4">
                  <c:v>2.9543106731082278</c:v>
                </c:pt>
                <c:pt idx="5">
                  <c:v>0.77295553599318945</c:v>
                </c:pt>
                <c:pt idx="6">
                  <c:v>3.5066454290624716E-2</c:v>
                </c:pt>
                <c:pt idx="7">
                  <c:v>-0.84371247237962632</c:v>
                </c:pt>
                <c:pt idx="8">
                  <c:v>0.26656780334565644</c:v>
                </c:pt>
                <c:pt idx="9">
                  <c:v>-0.91964041424849485</c:v>
                </c:pt>
                <c:pt idx="10">
                  <c:v>0.19227820283296904</c:v>
                </c:pt>
                <c:pt idx="11">
                  <c:v>0.63709489581352552</c:v>
                </c:pt>
                <c:pt idx="12">
                  <c:v>0.76774181686178788</c:v>
                </c:pt>
                <c:pt idx="13">
                  <c:v>0.90078056006664586</c:v>
                </c:pt>
                <c:pt idx="14">
                  <c:v>0.29529597600113722</c:v>
                </c:pt>
                <c:pt idx="15">
                  <c:v>0.62249115131732924</c:v>
                </c:pt>
                <c:pt idx="16">
                  <c:v>0.43886290464765387</c:v>
                </c:pt>
                <c:pt idx="17">
                  <c:v>0.44549726296289038</c:v>
                </c:pt>
                <c:pt idx="18">
                  <c:v>0.65612692327745226</c:v>
                </c:pt>
                <c:pt idx="19">
                  <c:v>0.36107428467537656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'ARIMA_test)'!$D$47:$D$66</c:f>
              <c:numCache>
                <c:formatCode>General</c:formatCode>
                <c:ptCount val="20"/>
                <c:pt idx="10">
                  <c:v>-0.11517339536630317</c:v>
                </c:pt>
                <c:pt idx="11">
                  <c:v>0.24997383681755064</c:v>
                </c:pt>
                <c:pt idx="12">
                  <c:v>0.3960489018230729</c:v>
                </c:pt>
                <c:pt idx="13">
                  <c:v>0.43895254682123952</c:v>
                </c:pt>
                <c:pt idx="14">
                  <c:v>0.48264165149868488</c:v>
                </c:pt>
                <c:pt idx="15">
                  <c:v>0.28380423965479779</c:v>
                </c:pt>
                <c:pt idx="16">
                  <c:v>0.39125312198776185</c:v>
                </c:pt>
                <c:pt idx="17">
                  <c:v>0.33095073565107058</c:v>
                </c:pt>
                <c:pt idx="18">
                  <c:v>0.33312941810040586</c:v>
                </c:pt>
                <c:pt idx="19">
                  <c:v>0.40229890253764028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'ARIMA_test)'!$M$47:$M$66</c:f>
              <c:numCache>
                <c:formatCode>General</c:formatCode>
                <c:ptCount val="20"/>
                <c:pt idx="0">
                  <c:v>0.71773511862965789</c:v>
                </c:pt>
                <c:pt idx="1">
                  <c:v>-0.42851795534725867</c:v>
                </c:pt>
                <c:pt idx="2">
                  <c:v>0.40556756856567822</c:v>
                </c:pt>
                <c:pt idx="3">
                  <c:v>1.0616932201525808</c:v>
                </c:pt>
                <c:pt idx="4">
                  <c:v>2.9543106731082278</c:v>
                </c:pt>
                <c:pt idx="5">
                  <c:v>0.77295553599318945</c:v>
                </c:pt>
                <c:pt idx="6">
                  <c:v>3.5066454290624716E-2</c:v>
                </c:pt>
                <c:pt idx="7">
                  <c:v>-0.84371247237962632</c:v>
                </c:pt>
                <c:pt idx="8">
                  <c:v>0.26656780334565644</c:v>
                </c:pt>
                <c:pt idx="9">
                  <c:v>-0.91964041424849485</c:v>
                </c:pt>
                <c:pt idx="10">
                  <c:v>0.19227820283296904</c:v>
                </c:pt>
                <c:pt idx="11">
                  <c:v>0.63709489581352552</c:v>
                </c:pt>
                <c:pt idx="12">
                  <c:v>0.76774181686178788</c:v>
                </c:pt>
                <c:pt idx="13">
                  <c:v>0.90078056006664586</c:v>
                </c:pt>
                <c:pt idx="14">
                  <c:v>0.29529597600113722</c:v>
                </c:pt>
                <c:pt idx="15">
                  <c:v>0.62249115131732924</c:v>
                </c:pt>
                <c:pt idx="16">
                  <c:v>0.43886290464765387</c:v>
                </c:pt>
                <c:pt idx="17">
                  <c:v>0.44549726296289038</c:v>
                </c:pt>
                <c:pt idx="18">
                  <c:v>0.65612692327745226</c:v>
                </c:pt>
                <c:pt idx="19">
                  <c:v>0.36107428467537656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'ARIMA_test)'!$Q$47:$Q$66</c:f>
              <c:numCache>
                <c:formatCode>General</c:formatCode>
                <c:ptCount val="20"/>
                <c:pt idx="10">
                  <c:v>0.52977726956951487</c:v>
                </c:pt>
                <c:pt idx="11">
                  <c:v>0.76501683900368</c:v>
                </c:pt>
                <c:pt idx="12">
                  <c:v>0.79696400409555512</c:v>
                </c:pt>
                <c:pt idx="13">
                  <c:v>0.93075416352258844</c:v>
                </c:pt>
                <c:pt idx="14">
                  <c:v>9.3254666878561099E-2</c:v>
                </c:pt>
                <c:pt idx="15">
                  <c:v>0.71346105097608215</c:v>
                </c:pt>
                <c:pt idx="16">
                  <c:v>0.36935222472449436</c:v>
                </c:pt>
                <c:pt idx="17">
                  <c:v>0.43575959227654665</c:v>
                </c:pt>
                <c:pt idx="18">
                  <c:v>0.71047653380771791</c:v>
                </c:pt>
                <c:pt idx="19">
                  <c:v>0.36107428467537656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8.xml"/><Relationship Id="rId7" Type="http://schemas.openxmlformats.org/officeDocument/2006/relationships/image" Target="../media/image3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0" Type="http://schemas.openxmlformats.org/officeDocument/2006/relationships/image" Target="../media/image6.png"/><Relationship Id="rId4" Type="http://schemas.openxmlformats.org/officeDocument/2006/relationships/chart" Target="../charts/chart9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353785</xdr:colOff>
      <xdr:row>11</xdr:row>
      <xdr:rowOff>176893</xdr:rowOff>
    </xdr:from>
    <xdr:to>
      <xdr:col>5</xdr:col>
      <xdr:colOff>479178</xdr:colOff>
      <xdr:row>13</xdr:row>
      <xdr:rowOff>102101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30928" y="242207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340178</xdr:colOff>
      <xdr:row>13</xdr:row>
      <xdr:rowOff>108858</xdr:rowOff>
    </xdr:from>
    <xdr:to>
      <xdr:col>6</xdr:col>
      <xdr:colOff>760994</xdr:colOff>
      <xdr:row>14</xdr:row>
      <xdr:rowOff>171488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321" y="2762251"/>
          <a:ext cx="2543530" cy="266737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12</xdr:row>
      <xdr:rowOff>27214</xdr:rowOff>
    </xdr:from>
    <xdr:to>
      <xdr:col>21</xdr:col>
      <xdr:colOff>604678</xdr:colOff>
      <xdr:row>13</xdr:row>
      <xdr:rowOff>99371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25250" y="2476500"/>
          <a:ext cx="3734321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13</xdr:row>
      <xdr:rowOff>149678</xdr:rowOff>
    </xdr:from>
    <xdr:to>
      <xdr:col>21</xdr:col>
      <xdr:colOff>54428</xdr:colOff>
      <xdr:row>14</xdr:row>
      <xdr:rowOff>189804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525250" y="2803071"/>
          <a:ext cx="3184071" cy="244233"/>
        </a:xfrm>
        <a:prstGeom prst="rect">
          <a:avLst/>
        </a:prstGeom>
      </xdr:spPr>
    </xdr:pic>
    <xdr:clientData/>
  </xdr:twoCellAnchor>
  <xdr:twoCellAnchor editAs="oneCell">
    <xdr:from>
      <xdr:col>16</xdr:col>
      <xdr:colOff>190499</xdr:colOff>
      <xdr:row>15</xdr:row>
      <xdr:rowOff>13607</xdr:rowOff>
    </xdr:from>
    <xdr:to>
      <xdr:col>21</xdr:col>
      <xdr:colOff>656444</xdr:colOff>
      <xdr:row>16</xdr:row>
      <xdr:rowOff>128854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43606" y="3075214"/>
          <a:ext cx="3867731" cy="319354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53</xdr:row>
      <xdr:rowOff>-1</xdr:rowOff>
    </xdr:from>
    <xdr:to>
      <xdr:col>5</xdr:col>
      <xdr:colOff>506392</xdr:colOff>
      <xdr:row>54</xdr:row>
      <xdr:rowOff>129314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58142" y="10817678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340179</xdr:colOff>
      <xdr:row>54</xdr:row>
      <xdr:rowOff>122464</xdr:rowOff>
    </xdr:from>
    <xdr:to>
      <xdr:col>6</xdr:col>
      <xdr:colOff>789574</xdr:colOff>
      <xdr:row>55</xdr:row>
      <xdr:rowOff>194621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7322" y="11144250"/>
          <a:ext cx="2572109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84364</xdr:colOff>
      <xdr:row>52</xdr:row>
      <xdr:rowOff>193221</xdr:rowOff>
    </xdr:from>
    <xdr:to>
      <xdr:col>18</xdr:col>
      <xdr:colOff>209757</xdr:colOff>
      <xdr:row>54</xdr:row>
      <xdr:rowOff>118428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37471" y="1080679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16</xdr:col>
      <xdr:colOff>43544</xdr:colOff>
      <xdr:row>54</xdr:row>
      <xdr:rowOff>111578</xdr:rowOff>
    </xdr:from>
    <xdr:to>
      <xdr:col>19</xdr:col>
      <xdr:colOff>574581</xdr:colOff>
      <xdr:row>55</xdr:row>
      <xdr:rowOff>183735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96651" y="11133364"/>
          <a:ext cx="2572109" cy="276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6" t="s">
        <v>5</v>
      </c>
      <c r="B1" s="27"/>
      <c r="C1" s="27"/>
      <c r="D1" s="27"/>
      <c r="E1" s="27"/>
      <c r="F1" s="27"/>
      <c r="G1" s="28"/>
      <c r="H1" s="6"/>
      <c r="J1" s="26" t="s">
        <v>3</v>
      </c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8"/>
    </row>
    <row r="2" spans="1:22" x14ac:dyDescent="0.3">
      <c r="A2" s="29"/>
      <c r="B2" s="30"/>
      <c r="C2" s="30"/>
      <c r="D2" s="30"/>
      <c r="E2" s="30"/>
      <c r="F2" s="30"/>
      <c r="G2" s="31"/>
      <c r="H2" s="6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2" x14ac:dyDescent="0.3">
      <c r="A3" s="32" t="s">
        <v>6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23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1.3</v>
      </c>
      <c r="C6" s="6"/>
      <c r="D6" s="6"/>
      <c r="E6" s="6"/>
      <c r="F6" s="16">
        <f t="array" ref="F6:G6">LINEST(B7:B15,C7:C15,TRUE,TRUE)</f>
        <v>1.0075535972155369</v>
      </c>
      <c r="G6" s="17">
        <v>0.99313141037508768</v>
      </c>
      <c r="H6" s="6"/>
      <c r="J6" s="2">
        <v>1</v>
      </c>
      <c r="K6" s="10">
        <v>1.3</v>
      </c>
      <c r="L6" s="6"/>
      <c r="M6" s="6"/>
      <c r="N6" s="6"/>
      <c r="O6" s="6"/>
      <c r="P6" s="6"/>
      <c r="Q6" s="6"/>
      <c r="R6" s="13">
        <f t="array" ref="R6:V6">LINEST(K10:K15, L10:O15, TRUE, TRUE)</f>
        <v>-1.0530294089364687</v>
      </c>
      <c r="S6" s="13">
        <v>-1.1384930996700433</v>
      </c>
      <c r="T6" s="13">
        <v>-1.1315901718781394</v>
      </c>
      <c r="U6" s="13">
        <v>-0.90072489320856153</v>
      </c>
      <c r="V6" s="14">
        <v>11.500064628124402</v>
      </c>
    </row>
    <row r="7" spans="1:22" x14ac:dyDescent="0.3">
      <c r="A7" s="2">
        <v>2</v>
      </c>
      <c r="B7" s="16">
        <v>2.1</v>
      </c>
      <c r="C7" s="16">
        <f>B6</f>
        <v>1.3</v>
      </c>
      <c r="D7" s="6"/>
      <c r="E7" s="33" t="s">
        <v>17</v>
      </c>
      <c r="F7" s="33"/>
      <c r="G7" s="34"/>
      <c r="H7" s="6"/>
      <c r="J7" s="2">
        <v>2</v>
      </c>
      <c r="K7" s="10">
        <v>1.1000000000000001</v>
      </c>
      <c r="L7" s="6">
        <f>K6</f>
        <v>1.3</v>
      </c>
      <c r="M7" s="6"/>
      <c r="N7" s="6"/>
      <c r="O7" s="6"/>
      <c r="P7" s="6"/>
      <c r="Q7" s="6"/>
      <c r="R7" s="6"/>
      <c r="S7" s="6"/>
      <c r="T7" s="6"/>
      <c r="U7" s="6"/>
      <c r="V7" s="1"/>
    </row>
    <row r="8" spans="1:22" x14ac:dyDescent="0.3">
      <c r="A8" s="2">
        <v>3</v>
      </c>
      <c r="B8" s="16">
        <v>3.5</v>
      </c>
      <c r="C8" s="16">
        <f t="shared" ref="C8:C25" si="0">B7</f>
        <v>2.1</v>
      </c>
      <c r="D8" s="6"/>
      <c r="E8" s="33"/>
      <c r="F8" s="33"/>
      <c r="G8" s="34"/>
      <c r="H8" s="6"/>
      <c r="J8" s="2">
        <v>3</v>
      </c>
      <c r="K8" s="10">
        <v>3.1</v>
      </c>
      <c r="L8" s="6">
        <f t="shared" ref="L8:O15" si="1">K7</f>
        <v>1.1000000000000001</v>
      </c>
      <c r="M8" s="6">
        <f>L7</f>
        <v>1.3</v>
      </c>
      <c r="N8" s="6"/>
      <c r="O8" s="6"/>
      <c r="P8" s="6"/>
      <c r="Q8" s="6"/>
      <c r="R8" s="6"/>
      <c r="S8" s="6"/>
      <c r="T8" s="6"/>
      <c r="U8" s="6"/>
      <c r="V8" s="1"/>
    </row>
    <row r="9" spans="1:22" x14ac:dyDescent="0.3">
      <c r="A9" s="2">
        <v>4</v>
      </c>
      <c r="B9" s="16">
        <v>4.0999999999999996</v>
      </c>
      <c r="C9" s="16">
        <f t="shared" si="0"/>
        <v>3.5</v>
      </c>
      <c r="D9" s="6"/>
      <c r="E9" s="6"/>
      <c r="F9" s="6"/>
      <c r="G9" s="1"/>
      <c r="H9" s="6"/>
      <c r="J9" s="2">
        <v>4</v>
      </c>
      <c r="K9" s="10">
        <v>3.9</v>
      </c>
      <c r="L9" s="6">
        <f t="shared" si="1"/>
        <v>3.1</v>
      </c>
      <c r="M9" s="6">
        <f t="shared" si="1"/>
        <v>1.1000000000000001</v>
      </c>
      <c r="N9" s="6">
        <f>M8</f>
        <v>1.3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5.6</v>
      </c>
      <c r="C10" s="16">
        <f t="shared" si="0"/>
        <v>4.0999999999999996</v>
      </c>
      <c r="D10" s="6"/>
      <c r="E10" s="6"/>
      <c r="F10" s="6"/>
      <c r="G10" s="1"/>
      <c r="H10" s="6"/>
      <c r="J10" s="2">
        <v>5</v>
      </c>
      <c r="K10" s="18">
        <v>1.2</v>
      </c>
      <c r="L10" s="16">
        <f t="shared" si="1"/>
        <v>3.9</v>
      </c>
      <c r="M10" s="16">
        <f t="shared" si="1"/>
        <v>3.1</v>
      </c>
      <c r="N10" s="16">
        <f t="shared" si="1"/>
        <v>1.1000000000000001</v>
      </c>
      <c r="O10" s="16">
        <f>N9</f>
        <v>1.3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6.7</v>
      </c>
      <c r="C11" s="16">
        <f t="shared" si="0"/>
        <v>5.6</v>
      </c>
      <c r="D11" s="6"/>
      <c r="E11" s="6"/>
      <c r="F11" s="6"/>
      <c r="G11" s="1"/>
      <c r="H11" s="6"/>
      <c r="J11" s="2">
        <v>6</v>
      </c>
      <c r="K11" s="18">
        <v>1.4</v>
      </c>
      <c r="L11" s="16">
        <f t="shared" si="1"/>
        <v>1.2</v>
      </c>
      <c r="M11" s="16">
        <f t="shared" si="1"/>
        <v>3.9</v>
      </c>
      <c r="N11" s="16">
        <f t="shared" si="1"/>
        <v>3.1</v>
      </c>
      <c r="O11" s="16">
        <f t="shared" si="1"/>
        <v>1.1000000000000001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7.2</v>
      </c>
      <c r="C12" s="16">
        <f t="shared" si="0"/>
        <v>6.7</v>
      </c>
      <c r="D12" s="6"/>
      <c r="E12" s="6"/>
      <c r="F12" s="6"/>
      <c r="G12" s="1"/>
      <c r="H12" s="6"/>
      <c r="J12" s="2">
        <v>7</v>
      </c>
      <c r="K12" s="18">
        <v>1.1000000000000001</v>
      </c>
      <c r="L12" s="16">
        <f t="shared" si="1"/>
        <v>1.4</v>
      </c>
      <c r="M12" s="16">
        <f t="shared" si="1"/>
        <v>1.2</v>
      </c>
      <c r="N12" s="16">
        <f t="shared" si="1"/>
        <v>3.9</v>
      </c>
      <c r="O12" s="16">
        <f t="shared" si="1"/>
        <v>3.1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8.3000000000000007</v>
      </c>
      <c r="C13" s="16">
        <f t="shared" si="0"/>
        <v>7.2</v>
      </c>
      <c r="D13" s="6"/>
      <c r="E13" s="6"/>
      <c r="F13" s="6"/>
      <c r="G13" s="1"/>
      <c r="H13" s="6"/>
      <c r="J13" s="2">
        <v>8</v>
      </c>
      <c r="K13" s="18">
        <v>3.5</v>
      </c>
      <c r="L13" s="16">
        <f t="shared" si="1"/>
        <v>1.1000000000000001</v>
      </c>
      <c r="M13" s="16">
        <f t="shared" si="1"/>
        <v>1.4</v>
      </c>
      <c r="N13" s="16">
        <f t="shared" si="1"/>
        <v>1.2</v>
      </c>
      <c r="O13" s="16">
        <f t="shared" si="1"/>
        <v>3.9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9.1</v>
      </c>
      <c r="C14" s="16">
        <f t="shared" si="0"/>
        <v>8.3000000000000007</v>
      </c>
      <c r="D14" s="6"/>
      <c r="E14" s="6"/>
      <c r="F14" s="6"/>
      <c r="G14" s="1"/>
      <c r="H14" s="6"/>
      <c r="J14" s="2">
        <v>9</v>
      </c>
      <c r="K14" s="18">
        <v>4.4000000000000004</v>
      </c>
      <c r="L14" s="16">
        <f t="shared" si="1"/>
        <v>3.5</v>
      </c>
      <c r="M14" s="16">
        <f t="shared" si="1"/>
        <v>1.1000000000000001</v>
      </c>
      <c r="N14" s="16">
        <f t="shared" si="1"/>
        <v>1.4</v>
      </c>
      <c r="O14" s="16">
        <f t="shared" si="1"/>
        <v>1.2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10.6</v>
      </c>
      <c r="C15" s="16">
        <f t="shared" si="0"/>
        <v>9.1</v>
      </c>
      <c r="D15" s="6"/>
      <c r="E15" s="6"/>
      <c r="F15" s="6"/>
      <c r="G15" s="1"/>
      <c r="H15" s="6"/>
      <c r="J15" s="2">
        <v>10</v>
      </c>
      <c r="K15" s="18">
        <v>1.3</v>
      </c>
      <c r="L15" s="16">
        <f t="shared" si="1"/>
        <v>4.4000000000000004</v>
      </c>
      <c r="M15" s="16">
        <f t="shared" si="1"/>
        <v>3.5</v>
      </c>
      <c r="N15" s="16">
        <f t="shared" si="1"/>
        <v>1.1000000000000001</v>
      </c>
      <c r="O15" s="16">
        <f t="shared" si="1"/>
        <v>1.4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11.3</v>
      </c>
      <c r="C16" s="6">
        <f t="shared" si="0"/>
        <v>10.6</v>
      </c>
      <c r="D16" s="8">
        <f t="shared" ref="D16:D25" si="2">$G$6+$F$6*C16</f>
        <v>11.67319954085978</v>
      </c>
      <c r="E16" s="12" t="s">
        <v>16</v>
      </c>
      <c r="F16" s="6"/>
      <c r="G16" s="1"/>
      <c r="H16" s="6"/>
      <c r="J16" s="2">
        <v>11</v>
      </c>
      <c r="K16" s="11">
        <v>1.2</v>
      </c>
      <c r="L16" s="6">
        <f t="shared" ref="L16:L25" si="3">K15</f>
        <v>1.3</v>
      </c>
      <c r="M16" s="6">
        <f t="shared" ref="M16:M25" si="4">L15</f>
        <v>4.4000000000000004</v>
      </c>
      <c r="N16" s="6">
        <f t="shared" ref="N16:N25" si="5">M15</f>
        <v>3.5</v>
      </c>
      <c r="O16" s="6">
        <f t="shared" ref="O16:O25" si="6">N15</f>
        <v>1.1000000000000001</v>
      </c>
      <c r="P16" s="8">
        <f t="shared" ref="P16:P25" si="7">$V$6+$U$6*L16+$T$6*M16+$S$6*N16+$R$6*O16</f>
        <v>0.20706731201419082</v>
      </c>
      <c r="Q16" s="9" t="s">
        <v>13</v>
      </c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12.5</v>
      </c>
      <c r="C17" s="6">
        <f t="shared" si="0"/>
        <v>11.3</v>
      </c>
      <c r="D17" s="8">
        <f t="shared" si="2"/>
        <v>12.378487058910657</v>
      </c>
      <c r="E17" s="6"/>
      <c r="F17" s="6"/>
      <c r="G17" s="1"/>
      <c r="H17" s="6"/>
      <c r="J17" s="2">
        <v>12</v>
      </c>
      <c r="K17" s="11">
        <v>1.1000000000000001</v>
      </c>
      <c r="L17" s="6">
        <f t="shared" si="3"/>
        <v>1.2</v>
      </c>
      <c r="M17" s="6">
        <f t="shared" si="4"/>
        <v>1.3</v>
      </c>
      <c r="N17" s="6">
        <f t="shared" si="5"/>
        <v>4.4000000000000004</v>
      </c>
      <c r="O17" s="6">
        <f t="shared" si="6"/>
        <v>3.5</v>
      </c>
      <c r="P17" s="8">
        <f t="shared" si="7"/>
        <v>0.25315496300671647</v>
      </c>
      <c r="R17" s="12" t="s">
        <v>22</v>
      </c>
      <c r="S17" s="6"/>
      <c r="T17" s="6"/>
      <c r="U17" s="6"/>
      <c r="V17" s="1"/>
    </row>
    <row r="18" spans="1:22" x14ac:dyDescent="0.3">
      <c r="A18" s="2">
        <v>13</v>
      </c>
      <c r="B18" s="11">
        <v>13.2</v>
      </c>
      <c r="C18" s="6">
        <f t="shared" si="0"/>
        <v>12.5</v>
      </c>
      <c r="D18" s="8">
        <f t="shared" si="2"/>
        <v>13.587551375569298</v>
      </c>
      <c r="E18" s="6"/>
      <c r="F18" s="6"/>
      <c r="G18" s="1"/>
      <c r="H18" s="6"/>
      <c r="J18" s="2">
        <v>13</v>
      </c>
      <c r="K18" s="11">
        <v>3.6</v>
      </c>
      <c r="L18" s="6">
        <f t="shared" si="3"/>
        <v>1.1000000000000001</v>
      </c>
      <c r="M18" s="6">
        <f t="shared" si="4"/>
        <v>1.2</v>
      </c>
      <c r="N18" s="6">
        <f t="shared" si="5"/>
        <v>1.3</v>
      </c>
      <c r="O18" s="6">
        <f t="shared" si="6"/>
        <v>4.4000000000000004</v>
      </c>
      <c r="P18" s="8">
        <f t="shared" si="7"/>
        <v>3.0379886104496965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14.5</v>
      </c>
      <c r="C19" s="6">
        <f t="shared" si="0"/>
        <v>13.2</v>
      </c>
      <c r="D19" s="8">
        <f t="shared" si="2"/>
        <v>14.292838893620175</v>
      </c>
      <c r="E19" s="6"/>
      <c r="F19" s="6"/>
      <c r="G19" s="1"/>
      <c r="H19" s="6"/>
      <c r="J19" s="2">
        <v>14</v>
      </c>
      <c r="K19" s="11">
        <v>4.0999999999999996</v>
      </c>
      <c r="L19" s="6">
        <f t="shared" si="3"/>
        <v>3.6</v>
      </c>
      <c r="M19" s="6">
        <f t="shared" si="4"/>
        <v>1.1000000000000001</v>
      </c>
      <c r="N19" s="6">
        <f t="shared" si="5"/>
        <v>1.2</v>
      </c>
      <c r="O19" s="6">
        <f t="shared" si="6"/>
        <v>1.3</v>
      </c>
      <c r="P19" s="8">
        <f t="shared" si="7"/>
        <v>4.2775758722861656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15.1</v>
      </c>
      <c r="C20" s="6">
        <f t="shared" si="0"/>
        <v>14.5</v>
      </c>
      <c r="D20" s="8">
        <f t="shared" si="2"/>
        <v>15.602658570000372</v>
      </c>
      <c r="E20" s="6"/>
      <c r="F20" s="6"/>
      <c r="G20" s="1"/>
      <c r="H20" s="6"/>
      <c r="J20" s="2">
        <v>15</v>
      </c>
      <c r="K20" s="11">
        <v>1.3</v>
      </c>
      <c r="L20" s="6">
        <f t="shared" si="3"/>
        <v>4.0999999999999996</v>
      </c>
      <c r="M20" s="6">
        <f t="shared" si="4"/>
        <v>3.6</v>
      </c>
      <c r="N20" s="6">
        <f t="shared" si="5"/>
        <v>1.1000000000000001</v>
      </c>
      <c r="O20" s="6">
        <f t="shared" si="6"/>
        <v>1.2</v>
      </c>
      <c r="P20" s="8">
        <f t="shared" si="7"/>
        <v>1.2173902468471887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16.5</v>
      </c>
      <c r="C21" s="6">
        <f t="shared" si="0"/>
        <v>15.1</v>
      </c>
      <c r="D21" s="8">
        <f t="shared" si="2"/>
        <v>16.207190728329696</v>
      </c>
      <c r="E21" s="6"/>
      <c r="F21" s="6"/>
      <c r="G21" s="1"/>
      <c r="H21" s="6"/>
      <c r="J21" s="2">
        <v>16</v>
      </c>
      <c r="K21" s="11">
        <v>1.4</v>
      </c>
      <c r="L21" s="6">
        <f t="shared" si="3"/>
        <v>1.3</v>
      </c>
      <c r="M21" s="6">
        <f t="shared" si="4"/>
        <v>4.0999999999999996</v>
      </c>
      <c r="N21" s="6">
        <f t="shared" si="5"/>
        <v>3.6</v>
      </c>
      <c r="O21" s="6">
        <f t="shared" si="6"/>
        <v>1.1000000000000001</v>
      </c>
      <c r="P21" s="8">
        <f t="shared" si="7"/>
        <v>0.43269505361062954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17.399999999999999</v>
      </c>
      <c r="C22" s="6">
        <f t="shared" si="0"/>
        <v>16.5</v>
      </c>
      <c r="D22" s="8">
        <f t="shared" si="2"/>
        <v>17.617765764431446</v>
      </c>
      <c r="E22" s="6"/>
      <c r="F22" s="6"/>
      <c r="G22" s="1"/>
      <c r="J22" s="2">
        <v>17</v>
      </c>
      <c r="K22" s="11">
        <v>1.5</v>
      </c>
      <c r="L22" s="6">
        <f t="shared" si="3"/>
        <v>1.4</v>
      </c>
      <c r="M22" s="6">
        <f t="shared" si="4"/>
        <v>1.3</v>
      </c>
      <c r="N22" s="6">
        <f t="shared" si="5"/>
        <v>4.0999999999999996</v>
      </c>
      <c r="O22" s="6">
        <f t="shared" si="6"/>
        <v>3.6</v>
      </c>
      <c r="P22" s="8">
        <f t="shared" si="7"/>
        <v>0.30925497337237084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18</v>
      </c>
      <c r="C23" s="6">
        <f t="shared" si="0"/>
        <v>17.399999999999999</v>
      </c>
      <c r="D23" s="8">
        <f t="shared" si="2"/>
        <v>18.52456400192543</v>
      </c>
      <c r="E23" s="6"/>
      <c r="F23" s="6"/>
      <c r="G23" s="1"/>
      <c r="J23" s="2">
        <v>18</v>
      </c>
      <c r="K23" s="11">
        <v>3.1</v>
      </c>
      <c r="L23" s="6">
        <f t="shared" si="3"/>
        <v>1.5</v>
      </c>
      <c r="M23" s="6">
        <f t="shared" si="4"/>
        <v>1.4</v>
      </c>
      <c r="N23" s="6">
        <f t="shared" si="5"/>
        <v>1.3</v>
      </c>
      <c r="O23" s="6">
        <f t="shared" si="6"/>
        <v>4.0999999999999996</v>
      </c>
      <c r="P23" s="8">
        <f t="shared" si="7"/>
        <v>2.7672894414715872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19.3</v>
      </c>
      <c r="C24" s="6">
        <f t="shared" si="0"/>
        <v>18</v>
      </c>
      <c r="D24" s="8">
        <f t="shared" si="2"/>
        <v>19.129096160254754</v>
      </c>
      <c r="E24" s="6"/>
      <c r="F24" s="6"/>
      <c r="G24" s="1"/>
      <c r="J24" s="2">
        <v>19</v>
      </c>
      <c r="K24" s="11">
        <v>4.9000000000000004</v>
      </c>
      <c r="L24" s="6">
        <f t="shared" si="3"/>
        <v>3.1</v>
      </c>
      <c r="M24" s="6">
        <f t="shared" si="4"/>
        <v>1.5</v>
      </c>
      <c r="N24" s="6">
        <f t="shared" si="5"/>
        <v>1.4</v>
      </c>
      <c r="O24" s="6">
        <f t="shared" si="6"/>
        <v>1.3</v>
      </c>
      <c r="P24" s="8">
        <f t="shared" si="7"/>
        <v>4.047603630205181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20.9</v>
      </c>
      <c r="C25" s="6">
        <f t="shared" si="0"/>
        <v>19.3</v>
      </c>
      <c r="D25" s="8">
        <f t="shared" si="2"/>
        <v>20.438915836634951</v>
      </c>
      <c r="E25" s="6"/>
      <c r="F25" s="6"/>
      <c r="G25" s="1"/>
      <c r="J25" s="2">
        <v>20</v>
      </c>
      <c r="K25" s="11">
        <v>1.1000000000000001</v>
      </c>
      <c r="L25" s="6">
        <f t="shared" si="3"/>
        <v>4.9000000000000004</v>
      </c>
      <c r="M25" s="6">
        <f t="shared" si="4"/>
        <v>3.1</v>
      </c>
      <c r="N25" s="6">
        <f t="shared" si="5"/>
        <v>1.5</v>
      </c>
      <c r="O25" s="6">
        <f t="shared" si="6"/>
        <v>1.4</v>
      </c>
      <c r="P25" s="8">
        <f t="shared" si="7"/>
        <v>0.39660229656409718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2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6" t="s">
        <v>5</v>
      </c>
      <c r="B42" s="27"/>
      <c r="C42" s="27"/>
      <c r="D42" s="27"/>
      <c r="E42" s="27"/>
      <c r="F42" s="27"/>
      <c r="G42" s="28"/>
      <c r="J42" s="26" t="s">
        <v>12</v>
      </c>
      <c r="K42" s="27"/>
      <c r="L42" s="27"/>
      <c r="M42" s="27"/>
      <c r="N42" s="27"/>
      <c r="O42" s="27"/>
      <c r="P42" s="27"/>
      <c r="Q42" s="27"/>
      <c r="R42" s="28"/>
    </row>
    <row r="43" spans="1:22" x14ac:dyDescent="0.3">
      <c r="A43" s="29"/>
      <c r="B43" s="30"/>
      <c r="C43" s="30"/>
      <c r="D43" s="30"/>
      <c r="E43" s="30"/>
      <c r="F43" s="30"/>
      <c r="G43" s="31"/>
      <c r="J43" s="29"/>
      <c r="K43" s="30"/>
      <c r="L43" s="30"/>
      <c r="M43" s="30"/>
      <c r="N43" s="30"/>
      <c r="O43" s="30"/>
      <c r="P43" s="30"/>
      <c r="Q43" s="30"/>
      <c r="R43" s="31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J44" s="32" t="s">
        <v>27</v>
      </c>
      <c r="K44" s="33"/>
      <c r="L44" s="33"/>
      <c r="M44" s="33"/>
      <c r="N44" s="33"/>
      <c r="O44" s="33"/>
      <c r="P44" s="33"/>
      <c r="Q44" s="33"/>
      <c r="R44" s="34"/>
    </row>
    <row r="45" spans="1:22" x14ac:dyDescent="0.3">
      <c r="A45" s="32"/>
      <c r="B45" s="33"/>
      <c r="C45" s="33"/>
      <c r="D45" s="33"/>
      <c r="E45" s="33"/>
      <c r="F45" s="33"/>
      <c r="G45" s="34"/>
      <c r="J45" s="32"/>
      <c r="K45" s="33"/>
      <c r="L45" s="33"/>
      <c r="M45" s="33"/>
      <c r="N45" s="33"/>
      <c r="O45" s="33"/>
      <c r="P45" s="33"/>
      <c r="Q45" s="33"/>
      <c r="R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23</v>
      </c>
      <c r="E46" s="24"/>
      <c r="F46" s="21" t="s">
        <v>21</v>
      </c>
      <c r="G46" s="22" t="s">
        <v>1</v>
      </c>
      <c r="J46" s="23" t="s">
        <v>15</v>
      </c>
      <c r="K46" s="24" t="s">
        <v>2</v>
      </c>
      <c r="L46" s="6" t="s">
        <v>24</v>
      </c>
      <c r="M46" s="24" t="s">
        <v>8</v>
      </c>
      <c r="N46" s="25" t="s">
        <v>23</v>
      </c>
      <c r="O46" s="24" t="s">
        <v>25</v>
      </c>
      <c r="P46" s="6"/>
      <c r="Q46" s="21" t="s">
        <v>21</v>
      </c>
      <c r="R46" s="22" t="s">
        <v>1</v>
      </c>
    </row>
    <row r="47" spans="1:22" x14ac:dyDescent="0.3">
      <c r="A47" s="2">
        <v>1</v>
      </c>
      <c r="B47" s="10">
        <v>1</v>
      </c>
      <c r="C47" s="6"/>
      <c r="D47" s="6"/>
      <c r="E47" s="6"/>
      <c r="F47" s="13">
        <f t="array" ref="F47:G47">LINEST(B48:B56,C48:C56,TRUE,TRUE)</f>
        <v>3.3477321814254821E-2</v>
      </c>
      <c r="G47" s="14">
        <v>6.2807775377969763</v>
      </c>
      <c r="J47" s="2">
        <v>1</v>
      </c>
      <c r="K47" s="10">
        <v>1</v>
      </c>
      <c r="L47" s="6"/>
      <c r="M47" s="6"/>
      <c r="N47" s="6"/>
      <c r="O47" s="6"/>
      <c r="P47" s="6"/>
      <c r="Q47" s="13">
        <f t="array" ref="Q47:R47">LINEST(L49:L57,M49:M57,TRUE,TRUE)</f>
        <v>-1.0571909167367537</v>
      </c>
      <c r="R47" s="14">
        <v>-2.3111858704793948</v>
      </c>
    </row>
    <row r="48" spans="1:22" x14ac:dyDescent="0.3">
      <c r="A48" s="2">
        <v>2</v>
      </c>
      <c r="B48" s="15">
        <v>3</v>
      </c>
      <c r="C48" s="13">
        <f>B47</f>
        <v>1</v>
      </c>
      <c r="D48" s="6"/>
      <c r="E48" s="6"/>
      <c r="F48" s="6"/>
      <c r="G48" s="1"/>
      <c r="J48" s="2">
        <v>2</v>
      </c>
      <c r="K48" s="6">
        <v>3</v>
      </c>
      <c r="L48" s="6">
        <f>K47-K48</f>
        <v>-2</v>
      </c>
      <c r="M48" s="6"/>
      <c r="N48" s="6"/>
      <c r="O48" s="6"/>
      <c r="P48" s="6"/>
      <c r="Q48" s="6"/>
      <c r="R48" s="1"/>
    </row>
    <row r="49" spans="1:18" x14ac:dyDescent="0.3">
      <c r="A49" s="2">
        <v>3</v>
      </c>
      <c r="B49" s="15">
        <v>2</v>
      </c>
      <c r="C49" s="13">
        <f t="shared" ref="C49:C66" si="8">B48</f>
        <v>3</v>
      </c>
      <c r="D49" s="6"/>
      <c r="E49" s="6"/>
      <c r="F49" s="6"/>
      <c r="G49" s="1"/>
      <c r="J49" s="2">
        <v>3</v>
      </c>
      <c r="K49" s="6">
        <v>2</v>
      </c>
      <c r="L49" s="13">
        <f t="shared" ref="L49:L66" si="9">K48-K49</f>
        <v>1</v>
      </c>
      <c r="M49" s="13">
        <f>L48</f>
        <v>-2</v>
      </c>
      <c r="N49" s="6"/>
      <c r="O49" s="6"/>
      <c r="P49" s="6"/>
      <c r="Q49" s="6"/>
      <c r="R49" s="1"/>
    </row>
    <row r="50" spans="1:18" x14ac:dyDescent="0.3">
      <c r="A50" s="2">
        <v>4</v>
      </c>
      <c r="B50" s="15">
        <v>5</v>
      </c>
      <c r="C50" s="13">
        <f t="shared" si="8"/>
        <v>2</v>
      </c>
      <c r="D50" s="6"/>
      <c r="E50" s="6"/>
      <c r="F50" s="6"/>
      <c r="G50" s="1"/>
      <c r="J50" s="2">
        <v>4</v>
      </c>
      <c r="K50" s="6">
        <v>5</v>
      </c>
      <c r="L50" s="13">
        <f t="shared" si="9"/>
        <v>-3</v>
      </c>
      <c r="M50" s="13">
        <f t="shared" ref="M50:M66" si="10">L49</f>
        <v>1</v>
      </c>
      <c r="N50" s="6"/>
      <c r="O50" s="6"/>
      <c r="P50" s="6"/>
      <c r="Q50" s="6"/>
      <c r="R50" s="1"/>
    </row>
    <row r="51" spans="1:18" x14ac:dyDescent="0.3">
      <c r="A51" s="2">
        <v>5</v>
      </c>
      <c r="B51" s="15">
        <v>2</v>
      </c>
      <c r="C51" s="13">
        <f t="shared" si="8"/>
        <v>5</v>
      </c>
      <c r="D51" s="6"/>
      <c r="E51" s="6"/>
      <c r="F51" s="6"/>
      <c r="G51" s="1"/>
      <c r="J51" s="2">
        <v>5</v>
      </c>
      <c r="K51" s="6">
        <v>2</v>
      </c>
      <c r="L51" s="13">
        <f t="shared" si="9"/>
        <v>3</v>
      </c>
      <c r="M51" s="13">
        <f t="shared" si="10"/>
        <v>-3</v>
      </c>
      <c r="N51" s="6"/>
      <c r="O51" s="6"/>
      <c r="P51" s="6"/>
      <c r="Q51" s="6"/>
      <c r="R51" s="1"/>
    </row>
    <row r="52" spans="1:18" x14ac:dyDescent="0.3">
      <c r="A52" s="2">
        <v>6</v>
      </c>
      <c r="B52" s="15">
        <v>9</v>
      </c>
      <c r="C52" s="13">
        <f t="shared" si="8"/>
        <v>2</v>
      </c>
      <c r="D52" s="6"/>
      <c r="E52" s="6"/>
      <c r="F52" s="6"/>
      <c r="G52" s="1"/>
      <c r="J52" s="2">
        <v>6</v>
      </c>
      <c r="K52" s="6">
        <v>9</v>
      </c>
      <c r="L52" s="13">
        <f t="shared" si="9"/>
        <v>-7</v>
      </c>
      <c r="M52" s="13">
        <f t="shared" si="10"/>
        <v>3</v>
      </c>
      <c r="N52" s="6"/>
      <c r="O52" s="6"/>
      <c r="P52" s="6"/>
      <c r="Q52" s="6"/>
      <c r="R52" s="1"/>
    </row>
    <row r="53" spans="1:18" x14ac:dyDescent="0.3">
      <c r="A53" s="2">
        <v>7</v>
      </c>
      <c r="B53" s="15">
        <v>5</v>
      </c>
      <c r="C53" s="13">
        <f t="shared" si="8"/>
        <v>9</v>
      </c>
      <c r="D53" s="6"/>
      <c r="E53" s="6"/>
      <c r="F53" s="6"/>
      <c r="G53" s="1"/>
      <c r="J53" s="2">
        <v>7</v>
      </c>
      <c r="K53" s="6">
        <v>5</v>
      </c>
      <c r="L53" s="13">
        <f t="shared" si="9"/>
        <v>4</v>
      </c>
      <c r="M53" s="13">
        <f t="shared" si="10"/>
        <v>-7</v>
      </c>
      <c r="N53" s="6"/>
      <c r="O53" s="6"/>
      <c r="P53" s="6"/>
      <c r="Q53" s="6"/>
      <c r="R53" s="1"/>
    </row>
    <row r="54" spans="1:18" x14ac:dyDescent="0.3">
      <c r="A54" s="2">
        <v>8</v>
      </c>
      <c r="B54" s="15">
        <v>12</v>
      </c>
      <c r="C54" s="13">
        <f t="shared" si="8"/>
        <v>5</v>
      </c>
      <c r="D54" s="6"/>
      <c r="E54" s="6"/>
      <c r="F54" s="6"/>
      <c r="G54" s="1"/>
      <c r="J54" s="2">
        <v>8</v>
      </c>
      <c r="K54" s="6">
        <v>12</v>
      </c>
      <c r="L54" s="13">
        <f t="shared" si="9"/>
        <v>-7</v>
      </c>
      <c r="M54" s="13">
        <f t="shared" si="10"/>
        <v>4</v>
      </c>
      <c r="N54" s="6"/>
      <c r="O54" s="6"/>
      <c r="P54" s="6"/>
      <c r="Q54" s="6"/>
      <c r="R54" s="1"/>
    </row>
    <row r="55" spans="1:18" x14ac:dyDescent="0.3">
      <c r="A55" s="2">
        <v>9</v>
      </c>
      <c r="B55" s="15">
        <v>5</v>
      </c>
      <c r="C55" s="13">
        <f t="shared" si="8"/>
        <v>12</v>
      </c>
      <c r="D55" s="6"/>
      <c r="E55" s="6"/>
      <c r="F55" s="6"/>
      <c r="G55" s="1"/>
      <c r="J55" s="2">
        <v>9</v>
      </c>
      <c r="K55" s="6">
        <v>5</v>
      </c>
      <c r="L55" s="13">
        <f t="shared" si="9"/>
        <v>7</v>
      </c>
      <c r="M55" s="13">
        <f t="shared" si="10"/>
        <v>-7</v>
      </c>
      <c r="N55" s="6"/>
      <c r="O55" s="6"/>
      <c r="P55" s="6"/>
      <c r="Q55" s="6"/>
      <c r="R55" s="1"/>
    </row>
    <row r="56" spans="1:18" x14ac:dyDescent="0.3">
      <c r="A56" s="2">
        <v>10</v>
      </c>
      <c r="B56" s="15">
        <v>15</v>
      </c>
      <c r="C56" s="13">
        <f t="shared" si="8"/>
        <v>5</v>
      </c>
      <c r="D56" s="6"/>
      <c r="E56" s="6"/>
      <c r="F56" s="6"/>
      <c r="G56" s="1"/>
      <c r="J56" s="2">
        <v>10</v>
      </c>
      <c r="K56" s="6">
        <v>15</v>
      </c>
      <c r="L56" s="13">
        <f t="shared" si="9"/>
        <v>-10</v>
      </c>
      <c r="M56" s="13">
        <f t="shared" si="10"/>
        <v>7</v>
      </c>
      <c r="N56" s="6"/>
      <c r="O56" s="6"/>
      <c r="P56" s="6"/>
      <c r="Q56" s="6"/>
      <c r="R56" s="1"/>
    </row>
    <row r="57" spans="1:18" x14ac:dyDescent="0.3">
      <c r="A57" s="2">
        <v>11</v>
      </c>
      <c r="B57" s="11">
        <v>9</v>
      </c>
      <c r="C57" s="6">
        <f t="shared" si="8"/>
        <v>15</v>
      </c>
      <c r="D57" s="8">
        <f>$G$47+$F$47*C57</f>
        <v>6.7829373650107989</v>
      </c>
      <c r="E57" s="9" t="s">
        <v>14</v>
      </c>
      <c r="F57" s="6"/>
      <c r="G57" s="1"/>
      <c r="J57" s="2">
        <v>11</v>
      </c>
      <c r="K57" s="6">
        <v>9</v>
      </c>
      <c r="L57" s="13">
        <f t="shared" si="9"/>
        <v>6</v>
      </c>
      <c r="M57" s="13">
        <f t="shared" si="10"/>
        <v>-10</v>
      </c>
      <c r="N57" s="6"/>
      <c r="O57" s="6"/>
      <c r="P57" s="6"/>
      <c r="Q57" s="6"/>
      <c r="R57" s="1"/>
    </row>
    <row r="58" spans="1:18" x14ac:dyDescent="0.3">
      <c r="A58" s="2">
        <v>12</v>
      </c>
      <c r="B58" s="11">
        <v>16</v>
      </c>
      <c r="C58" s="6">
        <f t="shared" si="8"/>
        <v>9</v>
      </c>
      <c r="D58" s="8">
        <f t="shared" ref="D58:D66" si="11">$G$47+$F$47*C58</f>
        <v>6.5820734341252694</v>
      </c>
      <c r="E58" s="6"/>
      <c r="F58" s="6"/>
      <c r="G58" s="1"/>
      <c r="J58" s="2">
        <v>12</v>
      </c>
      <c r="K58" s="11">
        <v>16</v>
      </c>
      <c r="L58" s="6">
        <f t="shared" si="9"/>
        <v>-7</v>
      </c>
      <c r="M58" s="6">
        <f t="shared" si="10"/>
        <v>6</v>
      </c>
      <c r="N58" s="6">
        <f t="shared" ref="N58:N66" si="12">$R$47+$Q$47*M58</f>
        <v>-8.6543313708999179</v>
      </c>
      <c r="O58" s="8">
        <f t="shared" ref="O58:O66" si="13">K58+N59</f>
        <v>21.089150546677882</v>
      </c>
      <c r="P58" s="9" t="s">
        <v>14</v>
      </c>
      <c r="Q58" s="6"/>
      <c r="R58" s="1"/>
    </row>
    <row r="59" spans="1:18" x14ac:dyDescent="0.3">
      <c r="A59" s="2">
        <v>13</v>
      </c>
      <c r="B59" s="11">
        <v>7</v>
      </c>
      <c r="C59" s="6">
        <f t="shared" si="8"/>
        <v>16</v>
      </c>
      <c r="D59" s="8">
        <f t="shared" si="11"/>
        <v>6.8164146868250537</v>
      </c>
      <c r="E59" s="6"/>
      <c r="F59" s="6"/>
      <c r="G59" s="1"/>
      <c r="J59" s="2">
        <v>13</v>
      </c>
      <c r="K59" s="11">
        <v>7</v>
      </c>
      <c r="L59" s="6">
        <f t="shared" si="9"/>
        <v>9</v>
      </c>
      <c r="M59" s="6">
        <f t="shared" si="10"/>
        <v>-7</v>
      </c>
      <c r="N59" s="6">
        <f t="shared" si="12"/>
        <v>5.0891505466778817</v>
      </c>
      <c r="O59" s="8">
        <f t="shared" si="13"/>
        <v>-4.8259041211101792</v>
      </c>
      <c r="P59" s="6"/>
      <c r="Q59" s="6"/>
      <c r="R59" s="1"/>
    </row>
    <row r="60" spans="1:18" x14ac:dyDescent="0.3">
      <c r="A60" s="2">
        <v>14</v>
      </c>
      <c r="B60" s="11">
        <v>14</v>
      </c>
      <c r="C60" s="6">
        <f t="shared" si="8"/>
        <v>7</v>
      </c>
      <c r="D60" s="8">
        <f t="shared" si="11"/>
        <v>6.5151187904967598</v>
      </c>
      <c r="E60" s="6"/>
      <c r="F60" s="6"/>
      <c r="G60" s="1"/>
      <c r="J60" s="2">
        <v>14</v>
      </c>
      <c r="K60" s="11">
        <v>14</v>
      </c>
      <c r="L60" s="6">
        <f t="shared" si="9"/>
        <v>-7</v>
      </c>
      <c r="M60" s="6">
        <f t="shared" si="10"/>
        <v>9</v>
      </c>
      <c r="N60" s="6">
        <f t="shared" si="12"/>
        <v>-11.825904121110179</v>
      </c>
      <c r="O60" s="8">
        <f t="shared" si="13"/>
        <v>19.089150546677882</v>
      </c>
      <c r="P60" s="6"/>
      <c r="Q60" s="6"/>
      <c r="R60" s="1"/>
    </row>
    <row r="61" spans="1:18" x14ac:dyDescent="0.3">
      <c r="A61" s="2">
        <v>15</v>
      </c>
      <c r="B61" s="11">
        <v>8</v>
      </c>
      <c r="C61" s="6">
        <f t="shared" si="8"/>
        <v>14</v>
      </c>
      <c r="D61" s="8">
        <f t="shared" si="11"/>
        <v>6.7494600431965441</v>
      </c>
      <c r="E61" s="6"/>
      <c r="F61" s="6"/>
      <c r="G61" s="1"/>
      <c r="J61" s="2">
        <v>15</v>
      </c>
      <c r="K61" s="11">
        <v>8</v>
      </c>
      <c r="L61" s="6">
        <f t="shared" si="9"/>
        <v>6</v>
      </c>
      <c r="M61" s="6">
        <f t="shared" si="10"/>
        <v>-7</v>
      </c>
      <c r="N61" s="6">
        <f t="shared" si="12"/>
        <v>5.0891505466778817</v>
      </c>
      <c r="O61" s="8">
        <f t="shared" si="13"/>
        <v>-0.65433137089991789</v>
      </c>
      <c r="P61" s="6"/>
      <c r="Q61" s="6"/>
      <c r="R61" s="1"/>
    </row>
    <row r="62" spans="1:18" x14ac:dyDescent="0.3">
      <c r="A62" s="2">
        <v>16</v>
      </c>
      <c r="B62" s="11">
        <v>16</v>
      </c>
      <c r="C62" s="6">
        <f t="shared" si="8"/>
        <v>8</v>
      </c>
      <c r="D62" s="8">
        <f t="shared" si="11"/>
        <v>6.5485961123110146</v>
      </c>
      <c r="E62" s="6"/>
      <c r="F62" s="6"/>
      <c r="G62" s="1"/>
      <c r="J62" s="2">
        <v>16</v>
      </c>
      <c r="K62" s="11">
        <v>16</v>
      </c>
      <c r="L62" s="6">
        <f t="shared" si="9"/>
        <v>-8</v>
      </c>
      <c r="M62" s="6">
        <f t="shared" si="10"/>
        <v>6</v>
      </c>
      <c r="N62" s="6">
        <f t="shared" si="12"/>
        <v>-8.6543313708999179</v>
      </c>
      <c r="O62" s="8">
        <f t="shared" si="13"/>
        <v>22.146341463414636</v>
      </c>
      <c r="P62" s="6"/>
      <c r="Q62" s="6"/>
      <c r="R62" s="1"/>
    </row>
    <row r="63" spans="1:18" x14ac:dyDescent="0.3">
      <c r="A63" s="2">
        <v>17</v>
      </c>
      <c r="B63" s="11">
        <v>6</v>
      </c>
      <c r="C63" s="6">
        <f t="shared" si="8"/>
        <v>16</v>
      </c>
      <c r="D63" s="8">
        <f t="shared" si="11"/>
        <v>6.8164146868250537</v>
      </c>
      <c r="E63" s="6"/>
      <c r="F63" s="6"/>
      <c r="G63" s="1"/>
      <c r="J63" s="2">
        <v>17</v>
      </c>
      <c r="K63" s="11">
        <v>6</v>
      </c>
      <c r="L63" s="6">
        <f t="shared" si="9"/>
        <v>10</v>
      </c>
      <c r="M63" s="6">
        <f t="shared" si="10"/>
        <v>-8</v>
      </c>
      <c r="N63" s="6">
        <f t="shared" si="12"/>
        <v>6.1463414634146343</v>
      </c>
      <c r="O63" s="8">
        <f t="shared" si="13"/>
        <v>-6.8830950378469318</v>
      </c>
      <c r="P63" s="6"/>
      <c r="Q63" s="6"/>
      <c r="R63" s="1"/>
    </row>
    <row r="64" spans="1:18" x14ac:dyDescent="0.3">
      <c r="A64" s="2">
        <v>18</v>
      </c>
      <c r="B64" s="11">
        <v>15</v>
      </c>
      <c r="C64" s="6">
        <f t="shared" si="8"/>
        <v>6</v>
      </c>
      <c r="D64" s="8">
        <f t="shared" si="11"/>
        <v>6.481641468682505</v>
      </c>
      <c r="E64" s="6"/>
      <c r="F64" s="6"/>
      <c r="G64" s="1"/>
      <c r="J64" s="2">
        <v>18</v>
      </c>
      <c r="K64" s="11">
        <v>15</v>
      </c>
      <c r="L64" s="6">
        <f t="shared" si="9"/>
        <v>-9</v>
      </c>
      <c r="M64" s="6">
        <f t="shared" si="10"/>
        <v>10</v>
      </c>
      <c r="N64" s="6">
        <f t="shared" si="12"/>
        <v>-12.883095037846932</v>
      </c>
      <c r="O64" s="8">
        <f t="shared" si="13"/>
        <v>22.203532380151387</v>
      </c>
      <c r="P64" s="6"/>
      <c r="Q64" s="6"/>
      <c r="R64" s="1"/>
    </row>
    <row r="65" spans="1:18" x14ac:dyDescent="0.3">
      <c r="A65" s="2">
        <v>19</v>
      </c>
      <c r="B65" s="11">
        <v>4</v>
      </c>
      <c r="C65" s="6">
        <f t="shared" si="8"/>
        <v>15</v>
      </c>
      <c r="D65" s="8">
        <f t="shared" si="11"/>
        <v>6.7829373650107989</v>
      </c>
      <c r="E65" s="6"/>
      <c r="F65" s="6"/>
      <c r="G65" s="1"/>
      <c r="J65" s="2">
        <v>19</v>
      </c>
      <c r="K65" s="11">
        <v>4</v>
      </c>
      <c r="L65" s="6">
        <f t="shared" si="9"/>
        <v>11</v>
      </c>
      <c r="M65" s="6">
        <f t="shared" si="10"/>
        <v>-9</v>
      </c>
      <c r="N65" s="6">
        <f t="shared" si="12"/>
        <v>7.2035323801513886</v>
      </c>
      <c r="O65" s="8">
        <f t="shared" si="13"/>
        <v>-9.9402859545836861</v>
      </c>
      <c r="P65" s="6"/>
      <c r="Q65" s="6"/>
      <c r="R65" s="1"/>
    </row>
    <row r="66" spans="1:18" x14ac:dyDescent="0.3">
      <c r="A66" s="2">
        <v>20</v>
      </c>
      <c r="B66" s="11">
        <v>19</v>
      </c>
      <c r="C66" s="6">
        <f t="shared" si="8"/>
        <v>4</v>
      </c>
      <c r="D66" s="8">
        <f t="shared" si="11"/>
        <v>6.4146868250539955</v>
      </c>
      <c r="E66" s="6"/>
      <c r="F66" s="6"/>
      <c r="G66" s="1"/>
      <c r="J66" s="2">
        <v>20</v>
      </c>
      <c r="K66" s="11">
        <v>19</v>
      </c>
      <c r="L66" s="6">
        <f t="shared" si="9"/>
        <v>-15</v>
      </c>
      <c r="M66" s="6">
        <f t="shared" si="10"/>
        <v>11</v>
      </c>
      <c r="N66" s="6">
        <f t="shared" si="12"/>
        <v>-13.940285954583686</v>
      </c>
      <c r="O66" s="8">
        <f t="shared" si="13"/>
        <v>19</v>
      </c>
      <c r="P66" s="6"/>
      <c r="Q66" s="6"/>
      <c r="R66" s="1"/>
    </row>
    <row r="67" spans="1:18" x14ac:dyDescent="0.3">
      <c r="A67" s="2"/>
      <c r="B67" s="6"/>
      <c r="C67" s="6"/>
      <c r="D67" s="6"/>
      <c r="E67" s="6"/>
      <c r="F67" s="6"/>
      <c r="G67" s="1"/>
      <c r="J67" s="2"/>
      <c r="K67" s="6"/>
      <c r="L67" s="6"/>
      <c r="M67" s="6"/>
      <c r="N67" s="6"/>
      <c r="O67" s="6"/>
      <c r="P67" s="6"/>
      <c r="Q67" s="6"/>
      <c r="R67" s="1"/>
    </row>
    <row r="68" spans="1:18" x14ac:dyDescent="0.3">
      <c r="A68" s="2"/>
      <c r="B68" s="6"/>
      <c r="C68" s="6"/>
      <c r="D68" s="6"/>
      <c r="E68" s="6"/>
      <c r="F68" s="6"/>
      <c r="G68" s="1"/>
      <c r="J68" s="2"/>
      <c r="K68" s="6"/>
      <c r="L68" s="6"/>
      <c r="M68" s="6"/>
      <c r="N68" s="6"/>
      <c r="O68" s="6"/>
      <c r="P68" s="6"/>
      <c r="Q68" s="6"/>
      <c r="R68" s="1"/>
    </row>
    <row r="69" spans="1:18" x14ac:dyDescent="0.3">
      <c r="A69" s="2"/>
      <c r="B69" s="6"/>
      <c r="C69" s="6"/>
      <c r="D69" s="6"/>
      <c r="E69" s="6"/>
      <c r="F69" s="6"/>
      <c r="G69" s="1"/>
      <c r="J69" s="2"/>
      <c r="K69" s="6"/>
      <c r="L69" s="6"/>
      <c r="M69" s="6"/>
      <c r="N69" s="6"/>
      <c r="O69" s="6"/>
      <c r="P69" s="6"/>
      <c r="Q69" s="6"/>
      <c r="R69" s="1"/>
    </row>
    <row r="70" spans="1:18" x14ac:dyDescent="0.3">
      <c r="A70" s="2"/>
      <c r="B70" s="6"/>
      <c r="C70" s="6"/>
      <c r="D70" s="6"/>
      <c r="E70" s="6"/>
      <c r="F70" s="6"/>
      <c r="G70" s="1"/>
      <c r="J70" s="2"/>
      <c r="K70" s="6"/>
      <c r="L70" s="6"/>
      <c r="M70" s="6"/>
      <c r="N70" s="6"/>
      <c r="O70" s="6"/>
      <c r="P70" s="6"/>
      <c r="Q70" s="6"/>
      <c r="R70" s="1"/>
    </row>
    <row r="71" spans="1:18" x14ac:dyDescent="0.3">
      <c r="A71" s="2"/>
      <c r="B71" s="6"/>
      <c r="C71" s="6"/>
      <c r="D71" s="6"/>
      <c r="E71" s="6"/>
      <c r="F71" s="6"/>
      <c r="G71" s="1"/>
      <c r="J71" s="2"/>
      <c r="K71" s="6"/>
      <c r="L71" s="6"/>
      <c r="M71" s="6"/>
      <c r="N71" s="6"/>
      <c r="O71" s="6"/>
      <c r="P71" s="6"/>
      <c r="Q71" s="6"/>
      <c r="R71" s="1"/>
    </row>
    <row r="72" spans="1:18" x14ac:dyDescent="0.3">
      <c r="A72" s="2"/>
      <c r="B72" s="6"/>
      <c r="C72" s="6"/>
      <c r="D72" s="6"/>
      <c r="E72" s="6"/>
      <c r="F72" s="6"/>
      <c r="G72" s="1"/>
      <c r="J72" s="2"/>
      <c r="K72" s="6"/>
      <c r="L72" s="6"/>
      <c r="M72" s="6"/>
      <c r="N72" s="6"/>
      <c r="O72" s="6"/>
      <c r="P72" s="6"/>
      <c r="Q72" s="6"/>
      <c r="R72" s="1"/>
    </row>
    <row r="73" spans="1:18" x14ac:dyDescent="0.3">
      <c r="A73" s="2"/>
      <c r="B73" s="6"/>
      <c r="C73" s="6"/>
      <c r="D73" s="6"/>
      <c r="E73" s="6"/>
      <c r="F73" s="6"/>
      <c r="G73" s="1"/>
      <c r="J73" s="2"/>
      <c r="K73" s="6"/>
      <c r="L73" s="6"/>
      <c r="M73" s="6"/>
      <c r="N73" s="6"/>
      <c r="O73" s="6"/>
      <c r="P73" s="6"/>
      <c r="Q73" s="6"/>
      <c r="R73" s="1"/>
    </row>
    <row r="74" spans="1:18" x14ac:dyDescent="0.3">
      <c r="A74" s="2"/>
      <c r="B74" s="6"/>
      <c r="C74" s="6"/>
      <c r="D74" s="6"/>
      <c r="E74" s="6"/>
      <c r="F74" s="6"/>
      <c r="G74" s="1"/>
      <c r="J74" s="2"/>
      <c r="K74" s="6"/>
      <c r="L74" s="6"/>
      <c r="M74" s="6"/>
      <c r="N74" s="6"/>
      <c r="O74" s="6"/>
      <c r="P74" s="6"/>
      <c r="Q74" s="6"/>
      <c r="R74" s="1"/>
    </row>
    <row r="75" spans="1:18" x14ac:dyDescent="0.3">
      <c r="A75" s="2"/>
      <c r="B75" s="6"/>
      <c r="C75" s="6"/>
      <c r="D75" s="6"/>
      <c r="E75" s="6"/>
      <c r="F75" s="6"/>
      <c r="G75" s="1"/>
      <c r="J75" s="2"/>
      <c r="K75" s="6"/>
      <c r="L75" s="6"/>
      <c r="M75" s="6"/>
      <c r="N75" s="6"/>
      <c r="O75" s="6"/>
      <c r="P75" s="6"/>
      <c r="Q75" s="6"/>
      <c r="R75" s="1"/>
    </row>
    <row r="76" spans="1:18" x14ac:dyDescent="0.3">
      <c r="A76" s="2"/>
      <c r="B76" s="6"/>
      <c r="C76" s="6"/>
      <c r="D76" s="6"/>
      <c r="E76" s="6"/>
      <c r="F76" s="6"/>
      <c r="G76" s="1"/>
      <c r="J76" s="2"/>
      <c r="K76" s="6"/>
      <c r="L76" s="6"/>
      <c r="M76" s="6"/>
      <c r="N76" s="6"/>
      <c r="O76" s="6"/>
      <c r="P76" s="6"/>
      <c r="Q76" s="6"/>
      <c r="R76" s="1"/>
    </row>
    <row r="77" spans="1:18" x14ac:dyDescent="0.3">
      <c r="A77" s="2"/>
      <c r="B77" s="6"/>
      <c r="C77" s="6"/>
      <c r="D77" s="6"/>
      <c r="E77" s="6"/>
      <c r="F77" s="6"/>
      <c r="G77" s="1"/>
      <c r="J77" s="2"/>
      <c r="K77" s="6"/>
      <c r="L77" s="6"/>
      <c r="M77" s="6"/>
      <c r="N77" s="6"/>
      <c r="O77" s="6"/>
      <c r="P77" s="6"/>
      <c r="Q77" s="6"/>
      <c r="R77" s="1"/>
    </row>
    <row r="78" spans="1:18" x14ac:dyDescent="0.3">
      <c r="A78" s="2"/>
      <c r="B78" s="6"/>
      <c r="C78" s="6"/>
      <c r="D78" s="6"/>
      <c r="E78" s="6"/>
      <c r="F78" s="6"/>
      <c r="G78" s="1"/>
      <c r="J78" s="2"/>
      <c r="K78" s="6"/>
      <c r="L78" s="6"/>
      <c r="M78" s="6"/>
      <c r="N78" s="6"/>
      <c r="O78" s="6"/>
      <c r="P78" s="6"/>
      <c r="Q78" s="6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6" t="s">
        <v>7</v>
      </c>
      <c r="B1" s="27"/>
      <c r="C1" s="27"/>
      <c r="D1" s="27"/>
      <c r="E1" s="27"/>
      <c r="F1" s="27"/>
      <c r="G1" s="27"/>
      <c r="H1" s="27"/>
      <c r="I1" s="28"/>
    </row>
    <row r="2" spans="1:9" x14ac:dyDescent="0.3">
      <c r="A2" s="29"/>
      <c r="B2" s="30"/>
      <c r="C2" s="30"/>
      <c r="D2" s="30"/>
      <c r="E2" s="30"/>
      <c r="F2" s="30"/>
      <c r="G2" s="30"/>
      <c r="H2" s="30"/>
      <c r="I2" s="31"/>
    </row>
    <row r="3" spans="1:9" x14ac:dyDescent="0.3">
      <c r="A3" s="32" t="s">
        <v>27</v>
      </c>
      <c r="B3" s="33"/>
      <c r="C3" s="33"/>
      <c r="D3" s="33"/>
      <c r="E3" s="33"/>
      <c r="F3" s="33"/>
      <c r="G3" s="33"/>
      <c r="H3" s="33"/>
      <c r="I3" s="34"/>
    </row>
    <row r="4" spans="1:9" x14ac:dyDescent="0.3">
      <c r="A4" s="32"/>
      <c r="B4" s="33"/>
      <c r="C4" s="33"/>
      <c r="D4" s="33"/>
      <c r="E4" s="33"/>
      <c r="F4" s="33"/>
      <c r="G4" s="33"/>
      <c r="H4" s="33"/>
      <c r="I4" s="34"/>
    </row>
    <row r="5" spans="1:9" x14ac:dyDescent="0.3">
      <c r="A5" s="23" t="s">
        <v>15</v>
      </c>
      <c r="B5" s="24" t="s">
        <v>2</v>
      </c>
      <c r="C5" s="6" t="s">
        <v>24</v>
      </c>
      <c r="D5" s="24" t="s">
        <v>8</v>
      </c>
      <c r="E5" s="25" t="s">
        <v>23</v>
      </c>
      <c r="F5" s="24"/>
      <c r="G5" s="6"/>
      <c r="H5" s="21" t="s">
        <v>21</v>
      </c>
      <c r="I5" s="22" t="s">
        <v>1</v>
      </c>
    </row>
    <row r="6" spans="1:9" x14ac:dyDescent="0.3">
      <c r="A6" s="2">
        <v>1</v>
      </c>
      <c r="B6" s="10">
        <v>1</v>
      </c>
      <c r="C6" s="6"/>
      <c r="D6" s="6"/>
      <c r="E6" s="6"/>
      <c r="F6" s="6"/>
      <c r="G6" s="6"/>
      <c r="H6" s="13">
        <f t="array" ref="H6:I6">LINEST(C8:C16,D8:D16,TRUE,TRUE)</f>
        <v>-1.0571909167367537</v>
      </c>
      <c r="I6" s="14">
        <v>-2.3111858704793948</v>
      </c>
    </row>
    <row r="7" spans="1:9" x14ac:dyDescent="0.3">
      <c r="A7" s="2">
        <v>2</v>
      </c>
      <c r="B7" s="6">
        <v>3</v>
      </c>
      <c r="C7" s="6">
        <f>B6-B7</f>
        <v>-2</v>
      </c>
      <c r="D7" s="6"/>
      <c r="E7" s="6"/>
      <c r="F7" s="6"/>
      <c r="G7" s="6"/>
      <c r="H7" s="6"/>
      <c r="I7" s="1"/>
    </row>
    <row r="8" spans="1:9" x14ac:dyDescent="0.3">
      <c r="A8" s="2">
        <v>3</v>
      </c>
      <c r="B8" s="6">
        <v>2</v>
      </c>
      <c r="C8" s="13">
        <f t="shared" ref="C8:C25" si="0">B7-B8</f>
        <v>1</v>
      </c>
      <c r="D8" s="13">
        <f>C7</f>
        <v>-2</v>
      </c>
      <c r="E8" s="6"/>
      <c r="F8" s="6"/>
      <c r="G8" s="6"/>
      <c r="H8" s="6"/>
      <c r="I8" s="1"/>
    </row>
    <row r="9" spans="1:9" x14ac:dyDescent="0.3">
      <c r="A9" s="2">
        <v>4</v>
      </c>
      <c r="B9" s="6">
        <v>5</v>
      </c>
      <c r="C9" s="13">
        <f t="shared" si="0"/>
        <v>-3</v>
      </c>
      <c r="D9" s="13">
        <f t="shared" ref="D9:D25" si="1">C8</f>
        <v>1</v>
      </c>
      <c r="E9" s="6"/>
      <c r="F9" s="6"/>
      <c r="G9" s="6"/>
      <c r="H9" s="6"/>
      <c r="I9" s="1"/>
    </row>
    <row r="10" spans="1:9" x14ac:dyDescent="0.3">
      <c r="A10" s="2">
        <v>5</v>
      </c>
      <c r="B10" s="6">
        <v>2</v>
      </c>
      <c r="C10" s="13">
        <f t="shared" si="0"/>
        <v>3</v>
      </c>
      <c r="D10" s="13">
        <f t="shared" si="1"/>
        <v>-3</v>
      </c>
      <c r="E10" s="6"/>
      <c r="F10" s="6"/>
      <c r="G10" s="6"/>
      <c r="H10" s="6"/>
      <c r="I10" s="1"/>
    </row>
    <row r="11" spans="1:9" x14ac:dyDescent="0.3">
      <c r="A11" s="2">
        <v>6</v>
      </c>
      <c r="B11" s="6">
        <v>9</v>
      </c>
      <c r="C11" s="13">
        <f t="shared" si="0"/>
        <v>-7</v>
      </c>
      <c r="D11" s="13">
        <f t="shared" si="1"/>
        <v>3</v>
      </c>
      <c r="E11" s="6"/>
      <c r="F11" s="6"/>
      <c r="G11" s="6"/>
      <c r="H11" s="6"/>
      <c r="I11" s="1"/>
    </row>
    <row r="12" spans="1:9" x14ac:dyDescent="0.3">
      <c r="A12" s="2">
        <v>7</v>
      </c>
      <c r="B12" s="6">
        <v>5</v>
      </c>
      <c r="C12" s="13">
        <f t="shared" si="0"/>
        <v>4</v>
      </c>
      <c r="D12" s="13">
        <f t="shared" si="1"/>
        <v>-7</v>
      </c>
      <c r="E12" s="6"/>
      <c r="F12" s="6"/>
      <c r="G12" s="6"/>
      <c r="H12" s="6"/>
      <c r="I12" s="1"/>
    </row>
    <row r="13" spans="1:9" x14ac:dyDescent="0.3">
      <c r="A13" s="2">
        <v>8</v>
      </c>
      <c r="B13" s="6">
        <v>12</v>
      </c>
      <c r="C13" s="13">
        <f t="shared" si="0"/>
        <v>-7</v>
      </c>
      <c r="D13" s="13">
        <f t="shared" si="1"/>
        <v>4</v>
      </c>
      <c r="E13" s="6"/>
      <c r="F13" s="6"/>
      <c r="G13" s="6"/>
      <c r="H13" s="6"/>
      <c r="I13" s="1"/>
    </row>
    <row r="14" spans="1:9" x14ac:dyDescent="0.3">
      <c r="A14" s="2">
        <v>9</v>
      </c>
      <c r="B14" s="6">
        <v>5</v>
      </c>
      <c r="C14" s="13">
        <f t="shared" si="0"/>
        <v>7</v>
      </c>
      <c r="D14" s="13">
        <f t="shared" si="1"/>
        <v>-7</v>
      </c>
      <c r="E14" s="6"/>
      <c r="F14" s="6"/>
      <c r="G14" s="6"/>
      <c r="H14" s="6"/>
      <c r="I14" s="1"/>
    </row>
    <row r="15" spans="1:9" x14ac:dyDescent="0.3">
      <c r="A15" s="2">
        <v>10</v>
      </c>
      <c r="B15" s="6">
        <v>15</v>
      </c>
      <c r="C15" s="13">
        <f t="shared" si="0"/>
        <v>-10</v>
      </c>
      <c r="D15" s="13">
        <f t="shared" si="1"/>
        <v>7</v>
      </c>
      <c r="E15" s="6"/>
      <c r="F15" s="6"/>
      <c r="G15" s="6"/>
      <c r="H15" s="6"/>
      <c r="I15" s="1"/>
    </row>
    <row r="16" spans="1:9" x14ac:dyDescent="0.3">
      <c r="A16" s="2">
        <v>11</v>
      </c>
      <c r="B16" s="6">
        <v>9</v>
      </c>
      <c r="C16" s="13">
        <f t="shared" si="0"/>
        <v>6</v>
      </c>
      <c r="D16" s="13">
        <f t="shared" si="1"/>
        <v>-10</v>
      </c>
      <c r="E16" s="6"/>
      <c r="F16" s="6"/>
      <c r="G16" s="6"/>
      <c r="H16" s="6"/>
      <c r="I16" s="1"/>
    </row>
    <row r="17" spans="1:10" x14ac:dyDescent="0.3">
      <c r="A17" s="2">
        <v>12</v>
      </c>
      <c r="B17" s="11">
        <v>16</v>
      </c>
      <c r="C17" s="6">
        <f t="shared" si="0"/>
        <v>-7</v>
      </c>
      <c r="D17" s="6">
        <f t="shared" si="1"/>
        <v>6</v>
      </c>
      <c r="E17" s="6">
        <f t="shared" ref="E17:E25" si="2">$R$47+$Q$47*D17</f>
        <v>0</v>
      </c>
      <c r="F17" s="8">
        <f>C17-E17</f>
        <v>-7</v>
      </c>
      <c r="G17" s="6">
        <f ca="1">OFFSET(F17,-1,0)</f>
        <v>0</v>
      </c>
      <c r="H17" s="6"/>
      <c r="I17" s="1"/>
      <c r="J17">
        <f ca="1">B17+I18</f>
        <v>16</v>
      </c>
    </row>
    <row r="18" spans="1:10" x14ac:dyDescent="0.3">
      <c r="A18" s="2">
        <v>13</v>
      </c>
      <c r="B18" s="11">
        <v>7</v>
      </c>
      <c r="C18" s="6">
        <f t="shared" si="0"/>
        <v>9</v>
      </c>
      <c r="D18" s="6">
        <f t="shared" si="1"/>
        <v>-7</v>
      </c>
      <c r="E18" s="6">
        <f t="shared" si="2"/>
        <v>0</v>
      </c>
      <c r="F18" s="8">
        <f t="shared" ref="F18:F25" si="3">C18-E18</f>
        <v>9</v>
      </c>
      <c r="G18" s="6">
        <f t="shared" ref="G18:G25" ca="1" si="4">OFFSET(F18,-1,0)</f>
        <v>-7</v>
      </c>
      <c r="H18" s="6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1">
        <v>14</v>
      </c>
      <c r="C19" s="6">
        <f t="shared" si="0"/>
        <v>-7</v>
      </c>
      <c r="D19" s="6">
        <f t="shared" si="1"/>
        <v>9</v>
      </c>
      <c r="E19" s="6">
        <f t="shared" si="2"/>
        <v>0</v>
      </c>
      <c r="F19" s="8">
        <f t="shared" si="3"/>
        <v>-7</v>
      </c>
      <c r="G19" s="6">
        <f t="shared" ca="1" si="4"/>
        <v>9</v>
      </c>
      <c r="H19" s="6"/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1">
        <v>8</v>
      </c>
      <c r="C20" s="6">
        <f t="shared" si="0"/>
        <v>6</v>
      </c>
      <c r="D20" s="6">
        <f t="shared" si="1"/>
        <v>-7</v>
      </c>
      <c r="E20" s="6">
        <f t="shared" si="2"/>
        <v>0</v>
      </c>
      <c r="F20" s="8">
        <f t="shared" si="3"/>
        <v>6</v>
      </c>
      <c r="G20" s="6">
        <f t="shared" ca="1" si="4"/>
        <v>-7</v>
      </c>
      <c r="H20" s="6"/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1">
        <v>16</v>
      </c>
      <c r="C21" s="6">
        <f t="shared" si="0"/>
        <v>-8</v>
      </c>
      <c r="D21" s="6">
        <f t="shared" si="1"/>
        <v>6</v>
      </c>
      <c r="E21" s="6">
        <f t="shared" si="2"/>
        <v>0</v>
      </c>
      <c r="F21" s="8">
        <f t="shared" si="3"/>
        <v>-8</v>
      </c>
      <c r="G21" s="6">
        <f t="shared" ca="1" si="4"/>
        <v>6</v>
      </c>
      <c r="H21" s="6"/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1">
        <v>6</v>
      </c>
      <c r="C22" s="6">
        <f t="shared" si="0"/>
        <v>10</v>
      </c>
      <c r="D22" s="6">
        <f t="shared" si="1"/>
        <v>-8</v>
      </c>
      <c r="E22" s="6">
        <f t="shared" si="2"/>
        <v>0</v>
      </c>
      <c r="F22" s="8">
        <f t="shared" si="3"/>
        <v>10</v>
      </c>
      <c r="G22" s="6">
        <f t="shared" ca="1" si="4"/>
        <v>-8</v>
      </c>
      <c r="H22" s="6"/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1">
        <v>15</v>
      </c>
      <c r="C23" s="6">
        <f t="shared" si="0"/>
        <v>-9</v>
      </c>
      <c r="D23" s="6">
        <f t="shared" si="1"/>
        <v>10</v>
      </c>
      <c r="E23" s="6">
        <f t="shared" si="2"/>
        <v>0</v>
      </c>
      <c r="F23" s="8">
        <f t="shared" si="3"/>
        <v>-9</v>
      </c>
      <c r="G23" s="6">
        <f t="shared" ca="1" si="4"/>
        <v>10</v>
      </c>
      <c r="H23" s="6"/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1">
        <v>4</v>
      </c>
      <c r="C24" s="6">
        <f t="shared" si="0"/>
        <v>11</v>
      </c>
      <c r="D24" s="6">
        <f t="shared" si="1"/>
        <v>-9</v>
      </c>
      <c r="E24" s="6">
        <f t="shared" si="2"/>
        <v>0</v>
      </c>
      <c r="F24" s="8">
        <f t="shared" si="3"/>
        <v>11</v>
      </c>
      <c r="G24" s="6">
        <f t="shared" ca="1" si="4"/>
        <v>-9</v>
      </c>
      <c r="H24" s="6"/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1">
        <v>19</v>
      </c>
      <c r="C25" s="6">
        <f t="shared" si="0"/>
        <v>-15</v>
      </c>
      <c r="D25" s="6">
        <f t="shared" si="1"/>
        <v>11</v>
      </c>
      <c r="E25" s="6">
        <f t="shared" si="2"/>
        <v>0</v>
      </c>
      <c r="F25" s="8">
        <f t="shared" si="3"/>
        <v>-15</v>
      </c>
      <c r="G25" s="6">
        <f t="shared" ca="1" si="4"/>
        <v>11</v>
      </c>
      <c r="H25" s="6"/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B26" s="6"/>
      <c r="C26" s="6"/>
      <c r="D26" s="6"/>
      <c r="E26" s="6"/>
      <c r="F26" s="6"/>
      <c r="G26" s="6"/>
      <c r="H26" s="6"/>
      <c r="I26" s="1"/>
    </row>
    <row r="27" spans="1:10" x14ac:dyDescent="0.3">
      <c r="A27" s="2"/>
      <c r="B27" s="6"/>
      <c r="C27" s="6"/>
      <c r="D27" s="6"/>
      <c r="E27" s="6"/>
      <c r="F27" s="6"/>
      <c r="G27" s="6"/>
      <c r="H27" s="6"/>
      <c r="I27" s="1"/>
    </row>
    <row r="28" spans="1:10" x14ac:dyDescent="0.3">
      <c r="A28" s="2"/>
      <c r="B28" s="6"/>
      <c r="C28" s="6"/>
      <c r="D28" s="6"/>
      <c r="E28" s="6"/>
      <c r="F28" s="6"/>
      <c r="G28" s="6"/>
      <c r="H28" s="6"/>
      <c r="I28" s="1"/>
    </row>
    <row r="29" spans="1:10" x14ac:dyDescent="0.3">
      <c r="A29" s="2"/>
      <c r="B29" s="6"/>
      <c r="C29" s="6"/>
      <c r="D29" s="6"/>
      <c r="E29" s="6"/>
      <c r="F29" s="6"/>
      <c r="G29" s="6"/>
      <c r="H29" s="6"/>
      <c r="I29" s="1"/>
    </row>
    <row r="30" spans="1:10" x14ac:dyDescent="0.3">
      <c r="A30" s="2"/>
      <c r="B30" s="6"/>
      <c r="C30" s="6"/>
      <c r="D30" s="6"/>
      <c r="E30" s="6"/>
      <c r="F30" s="6"/>
      <c r="G30" s="6"/>
      <c r="H30" s="6"/>
      <c r="I30" s="1"/>
    </row>
    <row r="31" spans="1:10" x14ac:dyDescent="0.3">
      <c r="A31" s="2"/>
      <c r="B31" s="6"/>
      <c r="C31" s="6"/>
      <c r="D31" s="6"/>
      <c r="E31" s="6"/>
      <c r="F31" s="6"/>
      <c r="G31" s="6"/>
      <c r="H31" s="6"/>
      <c r="I31" s="1"/>
    </row>
    <row r="32" spans="1:10" x14ac:dyDescent="0.3">
      <c r="A32" s="2"/>
      <c r="B32" s="6"/>
      <c r="C32" s="6"/>
      <c r="D32" s="6"/>
      <c r="E32" s="6"/>
      <c r="F32" s="6"/>
      <c r="G32" s="6"/>
      <c r="H32" s="6"/>
      <c r="I32" s="1"/>
    </row>
    <row r="33" spans="1:9" x14ac:dyDescent="0.3">
      <c r="A33" s="2"/>
      <c r="B33" s="6"/>
      <c r="C33" s="6"/>
      <c r="D33" s="6"/>
      <c r="E33" s="6"/>
      <c r="F33" s="6"/>
      <c r="G33" s="6"/>
      <c r="H33" s="6"/>
      <c r="I33" s="1"/>
    </row>
    <row r="34" spans="1:9" x14ac:dyDescent="0.3">
      <c r="A34" s="2"/>
      <c r="B34" s="6"/>
      <c r="C34" s="6"/>
      <c r="D34" s="6"/>
      <c r="E34" s="6"/>
      <c r="F34" s="6"/>
      <c r="G34" s="6"/>
      <c r="H34" s="6"/>
      <c r="I34" s="1"/>
    </row>
    <row r="35" spans="1:9" x14ac:dyDescent="0.3">
      <c r="A35" s="2"/>
      <c r="B35" s="6"/>
      <c r="C35" s="6"/>
      <c r="D35" s="6"/>
      <c r="E35" s="6"/>
      <c r="F35" s="6"/>
      <c r="G35" s="6"/>
      <c r="H35" s="6"/>
      <c r="I35" s="1"/>
    </row>
    <row r="36" spans="1:9" x14ac:dyDescent="0.3">
      <c r="A36" s="2"/>
      <c r="B36" s="6"/>
      <c r="C36" s="6"/>
      <c r="D36" s="6"/>
      <c r="E36" s="6"/>
      <c r="F36" s="6"/>
      <c r="G36" s="6"/>
      <c r="H36" s="6"/>
      <c r="I36" s="1"/>
    </row>
    <row r="37" spans="1:9" x14ac:dyDescent="0.3">
      <c r="A37" s="2"/>
      <c r="B37" s="6"/>
      <c r="C37" s="6"/>
      <c r="D37" s="6"/>
      <c r="E37" s="6"/>
      <c r="F37" s="6"/>
      <c r="G37" s="6"/>
      <c r="H37" s="6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V79"/>
  <sheetViews>
    <sheetView tabSelected="1" zoomScale="55" zoomScaleNormal="55" workbookViewId="0">
      <selection activeCell="AG10" sqref="AG10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35" t="s">
        <v>5</v>
      </c>
      <c r="B1" s="36"/>
      <c r="C1" s="36"/>
      <c r="D1" s="36"/>
      <c r="E1" s="36"/>
      <c r="F1" s="36"/>
      <c r="G1" s="37"/>
      <c r="H1" s="6"/>
      <c r="J1" s="35" t="s">
        <v>3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7"/>
    </row>
    <row r="2" spans="1:22" x14ac:dyDescent="0.3">
      <c r="A2" s="38"/>
      <c r="B2" s="39"/>
      <c r="C2" s="39"/>
      <c r="D2" s="39"/>
      <c r="E2" s="39"/>
      <c r="F2" s="39"/>
      <c r="G2" s="40"/>
      <c r="H2" s="6"/>
      <c r="J2" s="38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40"/>
    </row>
    <row r="3" spans="1:22" x14ac:dyDescent="0.3">
      <c r="A3" s="32" t="s">
        <v>30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0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21.704817698926689</v>
      </c>
      <c r="C6" s="6"/>
      <c r="D6" s="6"/>
      <c r="E6" s="6"/>
      <c r="F6" s="16">
        <f t="array" ref="F6:G6">LINEST(B7:B15,C7:C15,TRUE,TRUE)</f>
        <v>0.89250260627251465</v>
      </c>
      <c r="G6" s="17">
        <v>0.42295789552102292</v>
      </c>
      <c r="H6" s="6"/>
      <c r="J6" s="2">
        <v>1</v>
      </c>
      <c r="K6" s="10">
        <v>5.8730583219579415</v>
      </c>
      <c r="L6" s="6"/>
      <c r="M6" s="6"/>
      <c r="N6" s="6"/>
      <c r="O6" s="6"/>
      <c r="P6" s="6"/>
      <c r="Q6" s="6"/>
      <c r="R6" s="13">
        <f t="array" ref="R6:V6">LINEST(K10:K15, L10:O15, TRUE, TRUE)</f>
        <v>-1.0130164420877221</v>
      </c>
      <c r="S6" s="13">
        <v>-1.1550167617501619</v>
      </c>
      <c r="T6" s="13">
        <v>-1.1462409904143211</v>
      </c>
      <c r="U6" s="13">
        <v>-0.95645217595741716</v>
      </c>
      <c r="V6" s="14">
        <v>40.845746065577593</v>
      </c>
    </row>
    <row r="7" spans="1:22" x14ac:dyDescent="0.3">
      <c r="A7" s="2">
        <v>2</v>
      </c>
      <c r="B7" s="16">
        <v>20.507953938014346</v>
      </c>
      <c r="C7" s="16">
        <f>B6</f>
        <v>21.704817698926689</v>
      </c>
      <c r="D7" s="6"/>
      <c r="E7" s="33" t="s">
        <v>17</v>
      </c>
      <c r="F7" s="33"/>
      <c r="G7" s="34"/>
      <c r="H7" s="6"/>
      <c r="J7" s="2">
        <v>2</v>
      </c>
      <c r="K7" s="10">
        <v>5.0975064578310949</v>
      </c>
      <c r="L7" s="6">
        <f>K6</f>
        <v>5.8730583219579415</v>
      </c>
      <c r="M7" s="6"/>
      <c r="N7" s="6"/>
      <c r="O7" s="6"/>
      <c r="P7" s="6"/>
      <c r="Q7" s="6"/>
      <c r="R7" s="6"/>
      <c r="S7" s="33" t="s">
        <v>28</v>
      </c>
      <c r="T7" s="33"/>
      <c r="U7" s="33"/>
      <c r="V7" s="34"/>
    </row>
    <row r="8" spans="1:22" x14ac:dyDescent="0.3">
      <c r="A8" s="2">
        <v>3</v>
      </c>
      <c r="B8" s="16">
        <v>16.611871607420184</v>
      </c>
      <c r="C8" s="16">
        <f t="shared" ref="C8:C25" si="0">B7</f>
        <v>20.507953938014346</v>
      </c>
      <c r="D8" s="6"/>
      <c r="E8" s="33"/>
      <c r="F8" s="33"/>
      <c r="G8" s="34"/>
      <c r="H8" s="6"/>
      <c r="J8" s="2">
        <v>3</v>
      </c>
      <c r="K8" s="10">
        <v>9.7304425589809256</v>
      </c>
      <c r="L8" s="6">
        <f t="shared" ref="L8:O23" si="1">K7</f>
        <v>5.0975064578310949</v>
      </c>
      <c r="M8" s="6">
        <f>L7</f>
        <v>5.8730583219579415</v>
      </c>
      <c r="N8" s="6"/>
      <c r="O8" s="6"/>
      <c r="P8" s="6"/>
      <c r="Q8" s="6"/>
      <c r="R8" s="6"/>
      <c r="S8" s="33"/>
      <c r="T8" s="33"/>
      <c r="U8" s="33"/>
      <c r="V8" s="34"/>
    </row>
    <row r="9" spans="1:22" x14ac:dyDescent="0.3">
      <c r="A9" s="2">
        <v>4</v>
      </c>
      <c r="B9" s="16">
        <v>16.567416749653724</v>
      </c>
      <c r="C9" s="16">
        <f t="shared" si="0"/>
        <v>16.611871607420184</v>
      </c>
      <c r="D9" s="6"/>
      <c r="E9" s="6"/>
      <c r="F9" s="6"/>
      <c r="G9" s="1"/>
      <c r="H9" s="6"/>
      <c r="J9" s="2">
        <v>4</v>
      </c>
      <c r="K9" s="10">
        <v>11.650017841417588</v>
      </c>
      <c r="L9" s="6">
        <f t="shared" si="1"/>
        <v>9.7304425589809256</v>
      </c>
      <c r="M9" s="6">
        <f t="shared" si="1"/>
        <v>5.0975064578310949</v>
      </c>
      <c r="N9" s="6">
        <f>M8</f>
        <v>5.8730583219579415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17.205584098968881</v>
      </c>
      <c r="C10" s="16">
        <f t="shared" si="0"/>
        <v>16.567416749653724</v>
      </c>
      <c r="D10" s="6"/>
      <c r="E10" s="6"/>
      <c r="F10" s="6"/>
      <c r="G10" s="1"/>
      <c r="H10" s="6"/>
      <c r="J10" s="2">
        <v>5</v>
      </c>
      <c r="K10" s="18">
        <v>5.2511460540291885</v>
      </c>
      <c r="L10" s="16">
        <f t="shared" si="1"/>
        <v>11.650017841417588</v>
      </c>
      <c r="M10" s="16">
        <f t="shared" si="1"/>
        <v>9.7304425589809256</v>
      </c>
      <c r="N10" s="16">
        <f t="shared" si="1"/>
        <v>5.0975064578310949</v>
      </c>
      <c r="O10" s="16">
        <f>N9</f>
        <v>5.8730583219579415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15.432979297871894</v>
      </c>
      <c r="C11" s="16">
        <f t="shared" si="0"/>
        <v>17.205584098968881</v>
      </c>
      <c r="D11" s="6"/>
      <c r="E11" s="6"/>
      <c r="F11" s="6"/>
      <c r="G11" s="1"/>
      <c r="H11" s="6"/>
      <c r="J11" s="2">
        <v>6</v>
      </c>
      <c r="K11" s="18">
        <v>6.1422317858764579</v>
      </c>
      <c r="L11" s="16">
        <f t="shared" si="1"/>
        <v>5.2511460540291885</v>
      </c>
      <c r="M11" s="16">
        <f t="shared" si="1"/>
        <v>11.650017841417588</v>
      </c>
      <c r="N11" s="16">
        <f t="shared" si="1"/>
        <v>9.7304425589809256</v>
      </c>
      <c r="O11" s="16">
        <f t="shared" si="1"/>
        <v>5.0975064578310949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15.799797058056651</v>
      </c>
      <c r="C12" s="16">
        <f t="shared" si="0"/>
        <v>15.432979297871894</v>
      </c>
      <c r="D12" s="6"/>
      <c r="E12" s="6"/>
      <c r="F12" s="6"/>
      <c r="G12" s="1"/>
      <c r="H12" s="6"/>
      <c r="J12" s="2">
        <v>7</v>
      </c>
      <c r="K12" s="18">
        <v>5.4620547731667788</v>
      </c>
      <c r="L12" s="16">
        <f t="shared" si="1"/>
        <v>6.1422317858764579</v>
      </c>
      <c r="M12" s="16">
        <f t="shared" si="1"/>
        <v>5.2511460540291885</v>
      </c>
      <c r="N12" s="16">
        <f t="shared" si="1"/>
        <v>11.650017841417588</v>
      </c>
      <c r="O12" s="16">
        <f t="shared" si="1"/>
        <v>9.7304425589809256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14.990530014056528</v>
      </c>
      <c r="C13" s="16">
        <f t="shared" si="0"/>
        <v>15.799797058056651</v>
      </c>
      <c r="D13" s="6"/>
      <c r="E13" s="6"/>
      <c r="F13" s="6"/>
      <c r="G13" s="1"/>
      <c r="H13" s="6"/>
      <c r="J13" s="2">
        <v>8</v>
      </c>
      <c r="K13" s="18">
        <v>10.83538624909761</v>
      </c>
      <c r="L13" s="16">
        <f t="shared" si="1"/>
        <v>5.4620547731667788</v>
      </c>
      <c r="M13" s="16">
        <f t="shared" si="1"/>
        <v>6.1422317858764579</v>
      </c>
      <c r="N13" s="16">
        <f t="shared" si="1"/>
        <v>5.2511460540291885</v>
      </c>
      <c r="O13" s="16">
        <f t="shared" si="1"/>
        <v>11.650017841417588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10.445313992876748</v>
      </c>
      <c r="C14" s="16">
        <f t="shared" si="0"/>
        <v>14.990530014056528</v>
      </c>
      <c r="D14" s="6"/>
      <c r="E14" s="6"/>
      <c r="F14" s="6"/>
      <c r="G14" s="1"/>
      <c r="H14" s="6"/>
      <c r="J14" s="2">
        <v>9</v>
      </c>
      <c r="K14" s="18">
        <v>12.197359515508319</v>
      </c>
      <c r="L14" s="16">
        <f t="shared" si="1"/>
        <v>10.83538624909761</v>
      </c>
      <c r="M14" s="16">
        <f t="shared" si="1"/>
        <v>5.4620547731667788</v>
      </c>
      <c r="N14" s="16">
        <f t="shared" si="1"/>
        <v>6.1422317858764579</v>
      </c>
      <c r="O14" s="16">
        <f t="shared" si="1"/>
        <v>5.2511460540291885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9.4657043581749267</v>
      </c>
      <c r="C15" s="16">
        <f t="shared" si="0"/>
        <v>10.445313992876748</v>
      </c>
      <c r="D15" s="6"/>
      <c r="E15" s="6"/>
      <c r="F15" s="6"/>
      <c r="G15" s="1"/>
      <c r="H15" s="6"/>
      <c r="J15" s="2">
        <v>10</v>
      </c>
      <c r="K15" s="18">
        <v>5.280364112652574</v>
      </c>
      <c r="L15" s="16">
        <f t="shared" si="1"/>
        <v>12.197359515508319</v>
      </c>
      <c r="M15" s="16">
        <f t="shared" si="1"/>
        <v>10.83538624909761</v>
      </c>
      <c r="N15" s="16">
        <f t="shared" si="1"/>
        <v>5.4620547731667788</v>
      </c>
      <c r="O15" s="16">
        <f t="shared" si="1"/>
        <v>6.1422317858764579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11.921489149787824</v>
      </c>
      <c r="C16" s="6">
        <f t="shared" si="0"/>
        <v>9.4657043581749267</v>
      </c>
      <c r="D16" s="8">
        <f t="shared" ref="D16:D25" si="2">$G$6+$F$6*C16</f>
        <v>8.8711237053972454</v>
      </c>
      <c r="E16" s="12"/>
      <c r="F16" s="6"/>
      <c r="G16" s="1"/>
      <c r="H16" s="6"/>
      <c r="J16" s="2">
        <v>11</v>
      </c>
      <c r="K16" s="11">
        <v>5.4304681571057376</v>
      </c>
      <c r="L16" s="6">
        <f t="shared" si="1"/>
        <v>5.280364112652574</v>
      </c>
      <c r="M16" s="6">
        <f t="shared" si="1"/>
        <v>12.197359515508319</v>
      </c>
      <c r="N16" s="6">
        <f t="shared" si="1"/>
        <v>10.83538624909761</v>
      </c>
      <c r="O16" s="6">
        <f t="shared" si="1"/>
        <v>5.4620547731667788</v>
      </c>
      <c r="P16" s="8">
        <f t="shared" ref="P16:P25" si="3">$V$6+$U$6*L16+$T$6*M16+$S$6*N16+$R$6*O16</f>
        <v>3.7660128381411555</v>
      </c>
      <c r="Q16" s="9"/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10.788191252899145</v>
      </c>
      <c r="C17" s="6">
        <f t="shared" si="0"/>
        <v>11.921489149787824</v>
      </c>
      <c r="D17" s="8">
        <f t="shared" si="2"/>
        <v>11.06291803235616</v>
      </c>
      <c r="E17" s="6"/>
      <c r="F17" s="6"/>
      <c r="G17" s="1"/>
      <c r="H17" s="6"/>
      <c r="J17" s="2">
        <v>12</v>
      </c>
      <c r="K17" s="11">
        <v>4.7394136686308848</v>
      </c>
      <c r="L17" s="6">
        <f t="shared" si="1"/>
        <v>5.4304681571057376</v>
      </c>
      <c r="M17" s="6">
        <f t="shared" si="1"/>
        <v>5.280364112652574</v>
      </c>
      <c r="N17" s="6">
        <f t="shared" si="1"/>
        <v>12.197359515508319</v>
      </c>
      <c r="O17" s="6">
        <f t="shared" si="1"/>
        <v>10.83538624909761</v>
      </c>
      <c r="P17" s="8">
        <f t="shared" si="3"/>
        <v>4.5346140737991902</v>
      </c>
      <c r="R17" s="12"/>
      <c r="S17" s="6"/>
      <c r="T17" s="6"/>
      <c r="U17" s="6"/>
      <c r="V17" s="1"/>
    </row>
    <row r="18" spans="1:22" x14ac:dyDescent="0.3">
      <c r="A18" s="2">
        <v>13</v>
      </c>
      <c r="B18" s="11">
        <v>7.9779523276253679</v>
      </c>
      <c r="C18" s="6">
        <f t="shared" si="0"/>
        <v>10.788191252899145</v>
      </c>
      <c r="D18" s="8">
        <f t="shared" si="2"/>
        <v>10.051446705699854</v>
      </c>
      <c r="E18" s="6"/>
      <c r="F18" s="6"/>
      <c r="G18" s="1"/>
      <c r="H18" s="6"/>
      <c r="J18" s="2">
        <v>13</v>
      </c>
      <c r="K18" s="11">
        <v>10.871809971182339</v>
      </c>
      <c r="L18" s="6">
        <f t="shared" si="1"/>
        <v>4.7394136686308848</v>
      </c>
      <c r="M18" s="6">
        <f t="shared" si="1"/>
        <v>5.4304681571057376</v>
      </c>
      <c r="N18" s="6">
        <f t="shared" si="1"/>
        <v>5.280364112652574</v>
      </c>
      <c r="O18" s="6">
        <f t="shared" si="1"/>
        <v>12.197359515508319</v>
      </c>
      <c r="P18" s="8">
        <f t="shared" si="3"/>
        <v>11.633063553116141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8.0990760788540133</v>
      </c>
      <c r="C19" s="6">
        <f t="shared" si="0"/>
        <v>7.9779523276253679</v>
      </c>
      <c r="D19" s="8">
        <f t="shared" si="2"/>
        <v>7.5433011406445383</v>
      </c>
      <c r="E19" s="6"/>
      <c r="F19" s="6"/>
      <c r="G19" s="1"/>
      <c r="H19" s="6"/>
      <c r="J19" s="2">
        <v>14</v>
      </c>
      <c r="K19" s="11">
        <v>12.166736429167599</v>
      </c>
      <c r="L19" s="6">
        <f t="shared" si="1"/>
        <v>10.871809971182339</v>
      </c>
      <c r="M19" s="6">
        <f t="shared" si="1"/>
        <v>4.7394136686308848</v>
      </c>
      <c r="N19" s="6">
        <f t="shared" si="1"/>
        <v>5.4304681571057376</v>
      </c>
      <c r="O19" s="6">
        <f t="shared" si="1"/>
        <v>5.280364112652574</v>
      </c>
      <c r="P19" s="8">
        <f t="shared" si="3"/>
        <v>13.393492132595423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4.0699603136737519</v>
      </c>
      <c r="C20" s="6">
        <f t="shared" si="0"/>
        <v>8.0990760788540133</v>
      </c>
      <c r="D20" s="8">
        <f t="shared" si="2"/>
        <v>7.6514044042976082</v>
      </c>
      <c r="E20" s="6"/>
      <c r="F20" s="6"/>
      <c r="G20" s="1"/>
      <c r="H20" s="6"/>
      <c r="J20" s="2">
        <v>15</v>
      </c>
      <c r="K20" s="11">
        <v>5.9352507443669609</v>
      </c>
      <c r="L20" s="6">
        <f t="shared" si="1"/>
        <v>12.166736429167599</v>
      </c>
      <c r="M20" s="6">
        <f t="shared" si="1"/>
        <v>10.871809971182339</v>
      </c>
      <c r="N20" s="6">
        <f t="shared" si="1"/>
        <v>4.7394136686308848</v>
      </c>
      <c r="O20" s="6">
        <f t="shared" si="1"/>
        <v>5.4304681571057376</v>
      </c>
      <c r="P20" s="8">
        <f t="shared" si="3"/>
        <v>5.7718745451171074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4.4261546980999533</v>
      </c>
      <c r="C21" s="6">
        <f t="shared" si="0"/>
        <v>4.0699603136737519</v>
      </c>
      <c r="D21" s="8">
        <f t="shared" si="2"/>
        <v>4.0554080829005477</v>
      </c>
      <c r="E21" s="6"/>
      <c r="F21" s="6"/>
      <c r="G21" s="1"/>
      <c r="H21" s="6"/>
      <c r="J21" s="2">
        <v>16</v>
      </c>
      <c r="K21" s="11">
        <v>5.8755411727125555</v>
      </c>
      <c r="L21" s="6">
        <f t="shared" si="1"/>
        <v>5.9352507443669609</v>
      </c>
      <c r="M21" s="6">
        <f t="shared" si="1"/>
        <v>12.166736429167599</v>
      </c>
      <c r="N21" s="6">
        <f t="shared" si="1"/>
        <v>10.871809971182339</v>
      </c>
      <c r="O21" s="6">
        <f t="shared" si="1"/>
        <v>4.7394136686308848</v>
      </c>
      <c r="P21" s="8">
        <f t="shared" si="3"/>
        <v>3.8647238421393419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3.2323801459339054</v>
      </c>
      <c r="C22" s="6">
        <f t="shared" si="0"/>
        <v>4.4261546980999533</v>
      </c>
      <c r="D22" s="8">
        <f t="shared" si="2"/>
        <v>4.3733124993405665</v>
      </c>
      <c r="E22" s="6"/>
      <c r="F22" s="6"/>
      <c r="G22" s="1"/>
      <c r="J22" s="2">
        <v>17</v>
      </c>
      <c r="K22" s="11">
        <v>6.2430742261499157</v>
      </c>
      <c r="L22" s="6">
        <f t="shared" si="1"/>
        <v>5.8755411727125555</v>
      </c>
      <c r="M22" s="6">
        <f t="shared" si="1"/>
        <v>5.9352507443669609</v>
      </c>
      <c r="N22" s="6">
        <f t="shared" si="1"/>
        <v>12.166736429167599</v>
      </c>
      <c r="O22" s="6">
        <f t="shared" si="1"/>
        <v>10.871809971182339</v>
      </c>
      <c r="P22" s="8">
        <f t="shared" si="3"/>
        <v>3.3567374668829082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4.1131174110380382</v>
      </c>
      <c r="C23" s="6">
        <f t="shared" si="0"/>
        <v>3.2323801459339054</v>
      </c>
      <c r="D23" s="8">
        <f t="shared" si="2"/>
        <v>3.3078656002305649</v>
      </c>
      <c r="E23" s="6"/>
      <c r="F23" s="6"/>
      <c r="G23" s="1"/>
      <c r="J23" s="2">
        <v>18</v>
      </c>
      <c r="K23" s="11">
        <v>9.4359690357770027</v>
      </c>
      <c r="L23" s="6">
        <f t="shared" si="1"/>
        <v>6.2430742261499157</v>
      </c>
      <c r="M23" s="6">
        <f t="shared" si="1"/>
        <v>5.8755411727125555</v>
      </c>
      <c r="N23" s="6">
        <f t="shared" si="1"/>
        <v>5.9352507443669609</v>
      </c>
      <c r="O23" s="6">
        <f t="shared" si="1"/>
        <v>12.166736429167599</v>
      </c>
      <c r="P23" s="8">
        <f t="shared" si="3"/>
        <v>8.9593398600542713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0.6914300445549415</v>
      </c>
      <c r="C24" s="6">
        <f t="shared" si="0"/>
        <v>4.1131174110380382</v>
      </c>
      <c r="D24" s="8">
        <f t="shared" si="2"/>
        <v>4.09392590477733</v>
      </c>
      <c r="E24" s="6"/>
      <c r="F24" s="6"/>
      <c r="G24" s="1"/>
      <c r="J24" s="2">
        <v>19</v>
      </c>
      <c r="K24" s="11">
        <v>13.190859918242962</v>
      </c>
      <c r="L24" s="6">
        <f t="shared" ref="L24:O25" si="4">K23</f>
        <v>9.4359690357770027</v>
      </c>
      <c r="M24" s="6">
        <f t="shared" si="4"/>
        <v>6.2430742261499157</v>
      </c>
      <c r="N24" s="6">
        <f t="shared" si="4"/>
        <v>5.8755411727125555</v>
      </c>
      <c r="O24" s="6">
        <f t="shared" si="4"/>
        <v>5.9352507443669609</v>
      </c>
      <c r="P24" s="8">
        <f t="shared" si="3"/>
        <v>11.86577023403634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1.6323801820199058</v>
      </c>
      <c r="C25" s="6">
        <f t="shared" si="0"/>
        <v>0.6914300445549415</v>
      </c>
      <c r="D25" s="8">
        <f t="shared" si="2"/>
        <v>1.0400610123414291</v>
      </c>
      <c r="E25" s="6"/>
      <c r="F25" s="6"/>
      <c r="G25" s="1"/>
      <c r="J25" s="2">
        <v>20</v>
      </c>
      <c r="K25" s="11">
        <v>5.0392819670412665</v>
      </c>
      <c r="L25" s="6">
        <f t="shared" si="4"/>
        <v>13.190859918242962</v>
      </c>
      <c r="M25" s="6">
        <f t="shared" si="4"/>
        <v>9.4359690357770027</v>
      </c>
      <c r="N25" s="6">
        <f t="shared" si="4"/>
        <v>6.2430742261499157</v>
      </c>
      <c r="O25" s="6">
        <f t="shared" si="4"/>
        <v>5.8755411727125555</v>
      </c>
      <c r="P25" s="8">
        <f t="shared" si="3"/>
        <v>4.2505497107619714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6"/>
      <c r="K26" s="6"/>
      <c r="L26" s="6"/>
      <c r="M26" s="6"/>
      <c r="N26" s="6"/>
      <c r="O26" s="1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ht="16.5" customHeight="1" x14ac:dyDescent="0.3">
      <c r="A42" s="35" t="s">
        <v>5</v>
      </c>
      <c r="B42" s="36"/>
      <c r="C42" s="36"/>
      <c r="D42" s="36"/>
      <c r="E42" s="36"/>
      <c r="F42" s="36"/>
      <c r="G42" s="37"/>
      <c r="L42" s="35" t="s">
        <v>12</v>
      </c>
      <c r="M42" s="36"/>
      <c r="N42" s="36"/>
      <c r="O42" s="36"/>
      <c r="P42" s="36"/>
      <c r="Q42" s="36"/>
      <c r="R42" s="36"/>
      <c r="S42" s="36"/>
      <c r="T42" s="37"/>
    </row>
    <row r="43" spans="1:22" ht="16.5" customHeight="1" x14ac:dyDescent="0.3">
      <c r="A43" s="38"/>
      <c r="B43" s="39"/>
      <c r="C43" s="39"/>
      <c r="D43" s="39"/>
      <c r="E43" s="39"/>
      <c r="F43" s="39"/>
      <c r="G43" s="40"/>
      <c r="L43" s="38"/>
      <c r="M43" s="39"/>
      <c r="N43" s="39"/>
      <c r="O43" s="39"/>
      <c r="P43" s="39"/>
      <c r="Q43" s="39"/>
      <c r="R43" s="39"/>
      <c r="S43" s="39"/>
      <c r="T43" s="40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L44" s="32" t="s">
        <v>27</v>
      </c>
      <c r="M44" s="33"/>
      <c r="N44" s="33"/>
      <c r="O44" s="33"/>
      <c r="P44" s="33"/>
      <c r="Q44" s="33"/>
      <c r="R44" s="33"/>
      <c r="S44" s="33"/>
      <c r="T44" s="34"/>
    </row>
    <row r="45" spans="1:22" x14ac:dyDescent="0.3">
      <c r="A45" s="32"/>
      <c r="B45" s="33"/>
      <c r="C45" s="33"/>
      <c r="D45" s="33"/>
      <c r="E45" s="33"/>
      <c r="F45" s="33"/>
      <c r="G45" s="34"/>
      <c r="L45" s="32"/>
      <c r="M45" s="33"/>
      <c r="N45" s="33"/>
      <c r="O45" s="33"/>
      <c r="P45" s="33"/>
      <c r="Q45" s="33"/>
      <c r="R45" s="33"/>
      <c r="S45" s="33"/>
      <c r="T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0</v>
      </c>
      <c r="E46" s="24"/>
      <c r="F46" s="21" t="s">
        <v>21</v>
      </c>
      <c r="G46" s="22" t="s">
        <v>1</v>
      </c>
      <c r="H46" s="32" t="s">
        <v>29</v>
      </c>
      <c r="I46" s="33"/>
      <c r="J46" s="33"/>
      <c r="K46" s="34"/>
      <c r="L46" s="23" t="s">
        <v>15</v>
      </c>
      <c r="M46" s="24" t="s">
        <v>2</v>
      </c>
      <c r="N46" s="6" t="s">
        <v>24</v>
      </c>
      <c r="O46" s="24" t="s">
        <v>8</v>
      </c>
      <c r="P46" s="25" t="s">
        <v>0</v>
      </c>
      <c r="Q46" s="24" t="s">
        <v>25</v>
      </c>
      <c r="R46" s="6"/>
      <c r="S46" s="21" t="s">
        <v>21</v>
      </c>
      <c r="T46" s="22" t="s">
        <v>1</v>
      </c>
    </row>
    <row r="47" spans="1:22" x14ac:dyDescent="0.3">
      <c r="A47" s="2">
        <v>1</v>
      </c>
      <c r="B47" s="10">
        <v>0.71773511862965789</v>
      </c>
      <c r="C47" s="6"/>
      <c r="D47" s="6"/>
      <c r="E47" s="6"/>
      <c r="F47" s="13">
        <f t="array" ref="F47:G47">LINEST(B48:B56,C48:C56,TRUE,TRUE)</f>
        <v>0.32839384697261664</v>
      </c>
      <c r="G47" s="14">
        <v>0.18683085810025085</v>
      </c>
      <c r="H47" s="32"/>
      <c r="I47" s="33"/>
      <c r="J47" s="33"/>
      <c r="K47" s="34"/>
      <c r="L47" s="2">
        <v>1</v>
      </c>
      <c r="M47" s="10">
        <v>0.71773511862965789</v>
      </c>
      <c r="N47" s="6"/>
      <c r="O47" s="6"/>
      <c r="P47" s="6"/>
      <c r="Q47" s="6"/>
      <c r="R47" s="6"/>
      <c r="S47" s="13">
        <f t="array" ref="S47:T47">LINEST(N49:N57,O49:O57,TRUE,TRUE)</f>
        <v>-0.31416057423136773</v>
      </c>
      <c r="T47" s="14">
        <v>-1.182192450431508E-2</v>
      </c>
    </row>
    <row r="48" spans="1:22" x14ac:dyDescent="0.3">
      <c r="A48" s="2">
        <v>2</v>
      </c>
      <c r="B48" s="15">
        <v>-0.42851795534725867</v>
      </c>
      <c r="C48" s="13">
        <f>B47</f>
        <v>0.71773511862965789</v>
      </c>
      <c r="D48" s="6"/>
      <c r="E48" s="6"/>
      <c r="F48" s="6"/>
      <c r="G48" s="1"/>
      <c r="L48" s="2">
        <v>2</v>
      </c>
      <c r="M48" s="6">
        <v>-0.42851795534725867</v>
      </c>
      <c r="N48" s="6">
        <f>M47-M48</f>
        <v>1.1462530739769166</v>
      </c>
      <c r="O48" s="6"/>
      <c r="P48" s="6"/>
      <c r="Q48" s="6"/>
      <c r="R48" s="6"/>
      <c r="S48" s="6"/>
      <c r="T48" s="1"/>
    </row>
    <row r="49" spans="1:20" x14ac:dyDescent="0.3">
      <c r="A49" s="2">
        <v>3</v>
      </c>
      <c r="B49" s="15">
        <v>0.40556756856567822</v>
      </c>
      <c r="C49" s="13">
        <f t="shared" ref="C49:C66" si="5">B48</f>
        <v>-0.42851795534725867</v>
      </c>
      <c r="D49" s="6"/>
      <c r="E49" s="6"/>
      <c r="F49" s="6"/>
      <c r="G49" s="1"/>
      <c r="L49" s="2">
        <v>3</v>
      </c>
      <c r="M49" s="6">
        <v>0.40556756856567822</v>
      </c>
      <c r="N49" s="13">
        <f t="shared" ref="N49:N66" si="6">M48-M49</f>
        <v>-0.83408552391293689</v>
      </c>
      <c r="O49" s="13">
        <f>N48</f>
        <v>1.1462530739769166</v>
      </c>
      <c r="P49" s="6"/>
      <c r="Q49" s="6"/>
      <c r="R49" s="6"/>
      <c r="S49" s="6"/>
      <c r="T49" s="1"/>
    </row>
    <row r="50" spans="1:20" x14ac:dyDescent="0.3">
      <c r="A50" s="2">
        <v>4</v>
      </c>
      <c r="B50" s="15">
        <v>1.0616932201525808</v>
      </c>
      <c r="C50" s="13">
        <f t="shared" si="5"/>
        <v>0.40556756856567822</v>
      </c>
      <c r="D50" s="6"/>
      <c r="E50" s="6"/>
      <c r="F50" s="6"/>
      <c r="G50" s="1"/>
      <c r="L50" s="2">
        <v>4</v>
      </c>
      <c r="M50" s="6">
        <v>1.0616932201525808</v>
      </c>
      <c r="N50" s="13">
        <f t="shared" si="6"/>
        <v>-0.65612565158690261</v>
      </c>
      <c r="O50" s="13">
        <f t="shared" ref="O50:O66" si="7">N49</f>
        <v>-0.83408552391293689</v>
      </c>
      <c r="P50" s="6"/>
      <c r="Q50" s="6"/>
      <c r="R50" s="6"/>
      <c r="S50" s="6"/>
      <c r="T50" s="1"/>
    </row>
    <row r="51" spans="1:20" x14ac:dyDescent="0.3">
      <c r="A51" s="2">
        <v>5</v>
      </c>
      <c r="B51" s="15">
        <v>2.9543106731082278</v>
      </c>
      <c r="C51" s="13">
        <f t="shared" si="5"/>
        <v>1.0616932201525808</v>
      </c>
      <c r="D51" s="6"/>
      <c r="E51" s="6"/>
      <c r="F51" s="6"/>
      <c r="G51" s="1"/>
      <c r="L51" s="2">
        <v>5</v>
      </c>
      <c r="M51" s="6">
        <v>2.9543106731082278</v>
      </c>
      <c r="N51" s="13">
        <f t="shared" si="6"/>
        <v>-1.892617452955647</v>
      </c>
      <c r="O51" s="13">
        <f t="shared" si="7"/>
        <v>-0.65612565158690261</v>
      </c>
      <c r="P51" s="6"/>
      <c r="Q51" s="6"/>
      <c r="R51" s="6"/>
      <c r="S51" s="6"/>
      <c r="T51" s="1"/>
    </row>
    <row r="52" spans="1:20" x14ac:dyDescent="0.3">
      <c r="A52" s="2">
        <v>6</v>
      </c>
      <c r="B52" s="15">
        <v>0.77295553599318945</v>
      </c>
      <c r="C52" s="13">
        <f t="shared" si="5"/>
        <v>2.9543106731082278</v>
      </c>
      <c r="D52" s="6"/>
      <c r="E52" s="6"/>
      <c r="F52" s="6"/>
      <c r="G52" s="1"/>
      <c r="L52" s="2">
        <v>6</v>
      </c>
      <c r="M52" s="6">
        <v>0.77295553599318945</v>
      </c>
      <c r="N52" s="13">
        <f t="shared" si="6"/>
        <v>2.1813551371150384</v>
      </c>
      <c r="O52" s="13">
        <f t="shared" si="7"/>
        <v>-1.892617452955647</v>
      </c>
      <c r="P52" s="6"/>
      <c r="Q52" s="6"/>
      <c r="R52" s="6"/>
      <c r="S52" s="6"/>
      <c r="T52" s="1"/>
    </row>
    <row r="53" spans="1:20" x14ac:dyDescent="0.3">
      <c r="A53" s="2">
        <v>7</v>
      </c>
      <c r="B53" s="15">
        <v>3.5066454290624716E-2</v>
      </c>
      <c r="C53" s="13">
        <f t="shared" si="5"/>
        <v>0.77295553599318945</v>
      </c>
      <c r="D53" s="6"/>
      <c r="E53" s="6"/>
      <c r="F53" s="6"/>
      <c r="G53" s="1"/>
      <c r="L53" s="2">
        <v>7</v>
      </c>
      <c r="M53" s="6">
        <v>3.5066454290624716E-2</v>
      </c>
      <c r="N53" s="13">
        <f t="shared" si="6"/>
        <v>0.73788908170256473</v>
      </c>
      <c r="O53" s="13">
        <f t="shared" si="7"/>
        <v>2.1813551371150384</v>
      </c>
      <c r="P53" s="6"/>
      <c r="Q53" s="6"/>
      <c r="R53" s="6"/>
      <c r="S53" s="6"/>
      <c r="T53" s="1"/>
    </row>
    <row r="54" spans="1:20" x14ac:dyDescent="0.3">
      <c r="A54" s="2">
        <v>8</v>
      </c>
      <c r="B54" s="15">
        <v>-0.84371247237962632</v>
      </c>
      <c r="C54" s="13">
        <f t="shared" si="5"/>
        <v>3.5066454290624716E-2</v>
      </c>
      <c r="D54" s="6"/>
      <c r="E54" s="6"/>
      <c r="F54" s="6"/>
      <c r="G54" s="1"/>
      <c r="L54" s="2">
        <v>8</v>
      </c>
      <c r="M54" s="6">
        <v>-0.84371247237962632</v>
      </c>
      <c r="N54" s="13">
        <f t="shared" si="6"/>
        <v>0.87877892667025104</v>
      </c>
      <c r="O54" s="13">
        <f t="shared" si="7"/>
        <v>0.73788908170256473</v>
      </c>
      <c r="P54" s="6"/>
      <c r="Q54" s="6"/>
      <c r="R54" s="6"/>
      <c r="S54" s="6"/>
      <c r="T54" s="1"/>
    </row>
    <row r="55" spans="1:20" x14ac:dyDescent="0.3">
      <c r="A55" s="2">
        <v>9</v>
      </c>
      <c r="B55" s="15">
        <v>0.26656780334565644</v>
      </c>
      <c r="C55" s="13">
        <f t="shared" si="5"/>
        <v>-0.84371247237962632</v>
      </c>
      <c r="D55" s="6"/>
      <c r="E55" s="6"/>
      <c r="F55" s="6"/>
      <c r="G55" s="1"/>
      <c r="L55" s="2">
        <v>9</v>
      </c>
      <c r="M55" s="6">
        <v>0.26656780334565644</v>
      </c>
      <c r="N55" s="13">
        <f t="shared" si="6"/>
        <v>-1.1102802757252828</v>
      </c>
      <c r="O55" s="13">
        <f t="shared" si="7"/>
        <v>0.87877892667025104</v>
      </c>
      <c r="P55" s="6"/>
      <c r="Q55" s="6"/>
      <c r="R55" s="6"/>
      <c r="S55" s="6"/>
      <c r="T55" s="1"/>
    </row>
    <row r="56" spans="1:20" x14ac:dyDescent="0.3">
      <c r="A56" s="2">
        <v>10</v>
      </c>
      <c r="B56" s="15">
        <v>-0.91964041424849485</v>
      </c>
      <c r="C56" s="13">
        <f t="shared" si="5"/>
        <v>0.26656780334565644</v>
      </c>
      <c r="D56" s="6"/>
      <c r="E56" s="6"/>
      <c r="F56" s="6"/>
      <c r="G56" s="1"/>
      <c r="L56" s="2">
        <v>10</v>
      </c>
      <c r="M56" s="6">
        <v>-0.91964041424849485</v>
      </c>
      <c r="N56" s="13">
        <f t="shared" si="6"/>
        <v>1.1862082175941513</v>
      </c>
      <c r="O56" s="13">
        <f t="shared" si="7"/>
        <v>-1.1102802757252828</v>
      </c>
      <c r="P56" s="6"/>
      <c r="Q56" s="6"/>
      <c r="R56" s="6"/>
      <c r="S56" s="6"/>
      <c r="T56" s="1"/>
    </row>
    <row r="57" spans="1:20" x14ac:dyDescent="0.3">
      <c r="A57" s="2">
        <v>11</v>
      </c>
      <c r="B57" s="11">
        <v>0.19227820283296904</v>
      </c>
      <c r="C57" s="6">
        <f t="shared" si="5"/>
        <v>-0.91964041424849485</v>
      </c>
      <c r="D57" s="8">
        <f>$G$47+$F$47*C57</f>
        <v>-0.11517339536630317</v>
      </c>
      <c r="E57" s="9" t="s">
        <v>14</v>
      </c>
      <c r="F57" s="6"/>
      <c r="G57" s="1"/>
      <c r="L57" s="2">
        <v>11</v>
      </c>
      <c r="M57" s="6">
        <v>0.19227820283296904</v>
      </c>
      <c r="N57" s="13">
        <f t="shared" si="6"/>
        <v>-1.1119186170814639</v>
      </c>
      <c r="O57" s="13">
        <f t="shared" si="7"/>
        <v>1.1862082175941513</v>
      </c>
      <c r="P57" s="6"/>
      <c r="Q57" s="8">
        <f t="shared" ref="Q57:Q66" si="8">M57+P58</f>
        <v>0.52977726956951487</v>
      </c>
      <c r="R57" s="9"/>
      <c r="S57" s="6"/>
      <c r="T57" s="1"/>
    </row>
    <row r="58" spans="1:20" x14ac:dyDescent="0.3">
      <c r="A58" s="2">
        <v>12</v>
      </c>
      <c r="B58" s="11">
        <v>0.63709489581352552</v>
      </c>
      <c r="C58" s="6">
        <f t="shared" si="5"/>
        <v>0.19227820283296904</v>
      </c>
      <c r="D58" s="8">
        <f t="shared" ref="D58:D66" si="9">$G$47+$F$47*C58</f>
        <v>0.24997383681755064</v>
      </c>
      <c r="E58" s="6"/>
      <c r="F58" s="6"/>
      <c r="G58" s="1"/>
      <c r="L58" s="2">
        <v>12</v>
      </c>
      <c r="M58" s="11">
        <v>0.63709489581352552</v>
      </c>
      <c r="N58" s="6">
        <f t="shared" si="6"/>
        <v>-0.44481669298055648</v>
      </c>
      <c r="O58" s="6">
        <f t="shared" si="7"/>
        <v>-1.1119186170814639</v>
      </c>
      <c r="P58" s="6">
        <f t="shared" ref="P58:P66" si="10">$T$47+$S$47*O58</f>
        <v>0.33749906673654589</v>
      </c>
      <c r="Q58" s="8">
        <f t="shared" si="8"/>
        <v>0.76501683900368</v>
      </c>
      <c r="S58" s="6"/>
      <c r="T58" s="1"/>
    </row>
    <row r="59" spans="1:20" x14ac:dyDescent="0.3">
      <c r="A59" s="2">
        <v>13</v>
      </c>
      <c r="B59" s="11">
        <v>0.76774181686178788</v>
      </c>
      <c r="C59" s="6">
        <f t="shared" si="5"/>
        <v>0.63709489581352552</v>
      </c>
      <c r="D59" s="8">
        <f t="shared" si="9"/>
        <v>0.3960489018230729</v>
      </c>
      <c r="E59" s="6"/>
      <c r="F59" s="6"/>
      <c r="G59" s="1"/>
      <c r="L59" s="2">
        <v>13</v>
      </c>
      <c r="M59" s="11">
        <v>0.76774181686178788</v>
      </c>
      <c r="N59" s="6">
        <f t="shared" si="6"/>
        <v>-0.13064692104826237</v>
      </c>
      <c r="O59" s="6">
        <f t="shared" si="7"/>
        <v>-0.44481669298055648</v>
      </c>
      <c r="P59" s="6">
        <f t="shared" si="10"/>
        <v>0.12792194319015454</v>
      </c>
      <c r="Q59" s="8">
        <f t="shared" si="8"/>
        <v>0.79696400409555512</v>
      </c>
      <c r="R59" s="6"/>
      <c r="S59" s="6"/>
      <c r="T59" s="1"/>
    </row>
    <row r="60" spans="1:20" x14ac:dyDescent="0.3">
      <c r="A60" s="2">
        <v>14</v>
      </c>
      <c r="B60" s="11">
        <v>0.90078056006664586</v>
      </c>
      <c r="C60" s="6">
        <f t="shared" si="5"/>
        <v>0.76774181686178788</v>
      </c>
      <c r="D60" s="8">
        <f t="shared" si="9"/>
        <v>0.43895254682123952</v>
      </c>
      <c r="E60" s="6"/>
      <c r="F60" s="6"/>
      <c r="G60" s="1"/>
      <c r="L60" s="2">
        <v>14</v>
      </c>
      <c r="M60" s="11">
        <v>0.90078056006664586</v>
      </c>
      <c r="N60" s="6">
        <f t="shared" si="6"/>
        <v>-0.13303874320485798</v>
      </c>
      <c r="O60" s="6">
        <f t="shared" si="7"/>
        <v>-0.13064692104826237</v>
      </c>
      <c r="P60" s="6">
        <f t="shared" si="10"/>
        <v>2.922218723376719E-2</v>
      </c>
      <c r="Q60" s="8">
        <f t="shared" si="8"/>
        <v>0.93075416352258844</v>
      </c>
      <c r="R60" s="6"/>
      <c r="S60" s="6"/>
      <c r="T60" s="1"/>
    </row>
    <row r="61" spans="1:20" x14ac:dyDescent="0.3">
      <c r="A61" s="2">
        <v>15</v>
      </c>
      <c r="B61" s="11">
        <v>0.29529597600113722</v>
      </c>
      <c r="C61" s="6">
        <f t="shared" si="5"/>
        <v>0.90078056006664586</v>
      </c>
      <c r="D61" s="8">
        <f t="shared" si="9"/>
        <v>0.48264165149868488</v>
      </c>
      <c r="E61" s="6"/>
      <c r="F61" s="6"/>
      <c r="G61" s="1"/>
      <c r="L61" s="2">
        <v>15</v>
      </c>
      <c r="M61" s="11">
        <v>0.29529597600113722</v>
      </c>
      <c r="N61" s="6">
        <f t="shared" si="6"/>
        <v>0.60548458406550865</v>
      </c>
      <c r="O61" s="6">
        <f t="shared" si="7"/>
        <v>-0.13303874320485798</v>
      </c>
      <c r="P61" s="6">
        <f t="shared" si="10"/>
        <v>2.9973603455942577E-2</v>
      </c>
      <c r="Q61" s="8">
        <f t="shared" si="8"/>
        <v>9.3254666878561099E-2</v>
      </c>
      <c r="R61" s="6"/>
      <c r="S61" s="6"/>
      <c r="T61" s="1"/>
    </row>
    <row r="62" spans="1:20" x14ac:dyDescent="0.3">
      <c r="A62" s="2">
        <v>16</v>
      </c>
      <c r="B62" s="11">
        <v>0.62249115131732924</v>
      </c>
      <c r="C62" s="6">
        <f t="shared" si="5"/>
        <v>0.29529597600113722</v>
      </c>
      <c r="D62" s="8">
        <f t="shared" si="9"/>
        <v>0.28380423965479779</v>
      </c>
      <c r="E62" s="6"/>
      <c r="F62" s="6"/>
      <c r="G62" s="1"/>
      <c r="L62" s="2">
        <v>16</v>
      </c>
      <c r="M62" s="11">
        <v>0.62249115131732924</v>
      </c>
      <c r="N62" s="6">
        <f t="shared" si="6"/>
        <v>-0.32719517531619202</v>
      </c>
      <c r="O62" s="6">
        <f t="shared" si="7"/>
        <v>0.60548458406550865</v>
      </c>
      <c r="P62" s="6">
        <f t="shared" si="10"/>
        <v>-0.20204130912257612</v>
      </c>
      <c r="Q62" s="8">
        <f t="shared" si="8"/>
        <v>0.71346105097608215</v>
      </c>
      <c r="R62" s="6"/>
      <c r="S62" s="6"/>
      <c r="T62" s="1"/>
    </row>
    <row r="63" spans="1:20" x14ac:dyDescent="0.3">
      <c r="A63" s="2">
        <v>17</v>
      </c>
      <c r="B63" s="11">
        <v>0.43886290464765387</v>
      </c>
      <c r="C63" s="6">
        <f t="shared" si="5"/>
        <v>0.62249115131732924</v>
      </c>
      <c r="D63" s="8">
        <f t="shared" si="9"/>
        <v>0.39125312198776185</v>
      </c>
      <c r="E63" s="6"/>
      <c r="F63" s="6"/>
      <c r="G63" s="1"/>
      <c r="L63" s="2">
        <v>17</v>
      </c>
      <c r="M63" s="11">
        <v>0.43886290464765387</v>
      </c>
      <c r="N63" s="6">
        <f t="shared" si="6"/>
        <v>0.18362824666967537</v>
      </c>
      <c r="O63" s="6">
        <f t="shared" si="7"/>
        <v>-0.32719517531619202</v>
      </c>
      <c r="P63" s="6">
        <f t="shared" si="10"/>
        <v>9.0969899658752851E-2</v>
      </c>
      <c r="Q63" s="8">
        <f t="shared" si="8"/>
        <v>0.36935222472449436</v>
      </c>
      <c r="R63" s="6"/>
      <c r="S63" s="6"/>
      <c r="T63" s="1"/>
    </row>
    <row r="64" spans="1:20" x14ac:dyDescent="0.3">
      <c r="A64" s="2">
        <v>18</v>
      </c>
      <c r="B64" s="11">
        <v>0.44549726296289038</v>
      </c>
      <c r="C64" s="6">
        <f t="shared" si="5"/>
        <v>0.43886290464765387</v>
      </c>
      <c r="D64" s="8">
        <f t="shared" si="9"/>
        <v>0.33095073565107058</v>
      </c>
      <c r="E64" s="6"/>
      <c r="F64" s="6"/>
      <c r="G64" s="1"/>
      <c r="L64" s="2">
        <v>18</v>
      </c>
      <c r="M64" s="11">
        <v>0.44549726296289038</v>
      </c>
      <c r="N64" s="6">
        <f t="shared" si="6"/>
        <v>-6.6343583152365104E-3</v>
      </c>
      <c r="O64" s="6">
        <f t="shared" si="7"/>
        <v>0.18362824666967537</v>
      </c>
      <c r="P64" s="6">
        <f t="shared" si="10"/>
        <v>-6.9510679923159541E-2</v>
      </c>
      <c r="Q64" s="8">
        <f t="shared" si="8"/>
        <v>0.43575959227654665</v>
      </c>
      <c r="R64" s="6"/>
      <c r="S64" s="6"/>
      <c r="T64" s="1"/>
    </row>
    <row r="65" spans="1:20" x14ac:dyDescent="0.3">
      <c r="A65" s="2">
        <v>19</v>
      </c>
      <c r="B65" s="11">
        <v>0.65612692327745226</v>
      </c>
      <c r="C65" s="6">
        <f t="shared" si="5"/>
        <v>0.44549726296289038</v>
      </c>
      <c r="D65" s="8">
        <f t="shared" si="9"/>
        <v>0.33312941810040586</v>
      </c>
      <c r="E65" s="6"/>
      <c r="F65" s="6"/>
      <c r="G65" s="1"/>
      <c r="L65" s="2">
        <v>19</v>
      </c>
      <c r="M65" s="11">
        <v>0.65612692327745226</v>
      </c>
      <c r="N65" s="6">
        <f t="shared" si="6"/>
        <v>-0.21062966031456187</v>
      </c>
      <c r="O65" s="6">
        <f t="shared" si="7"/>
        <v>-6.6343583152365104E-3</v>
      </c>
      <c r="P65" s="6">
        <f t="shared" si="10"/>
        <v>-9.7376706863437287E-3</v>
      </c>
      <c r="Q65" s="8">
        <f t="shared" si="8"/>
        <v>0.71047653380771791</v>
      </c>
      <c r="R65" s="6"/>
      <c r="S65" s="6"/>
      <c r="T65" s="1"/>
    </row>
    <row r="66" spans="1:20" x14ac:dyDescent="0.3">
      <c r="A66" s="2">
        <v>20</v>
      </c>
      <c r="B66" s="11">
        <v>0.36107428467537656</v>
      </c>
      <c r="C66" s="6">
        <f t="shared" si="5"/>
        <v>0.65612692327745226</v>
      </c>
      <c r="D66" s="8">
        <f t="shared" si="9"/>
        <v>0.40229890253764028</v>
      </c>
      <c r="E66" s="6"/>
      <c r="F66" s="6"/>
      <c r="G66" s="1"/>
      <c r="L66" s="2">
        <v>20</v>
      </c>
      <c r="M66" s="11">
        <v>0.36107428467537656</v>
      </c>
      <c r="N66" s="6">
        <f t="shared" si="6"/>
        <v>0.2950526386020757</v>
      </c>
      <c r="O66" s="6">
        <f t="shared" si="7"/>
        <v>-0.21062966031456187</v>
      </c>
      <c r="P66" s="6">
        <f t="shared" si="10"/>
        <v>5.4349610530265609E-2</v>
      </c>
      <c r="Q66" s="8">
        <f t="shared" si="8"/>
        <v>0.36107428467537656</v>
      </c>
      <c r="R66" s="6"/>
      <c r="S66" s="6"/>
      <c r="T66" s="1"/>
    </row>
    <row r="67" spans="1:20" x14ac:dyDescent="0.3">
      <c r="A67" s="2"/>
      <c r="B67" s="6"/>
      <c r="C67" s="6"/>
      <c r="D67" s="6"/>
      <c r="E67" s="6"/>
      <c r="F67" s="6"/>
      <c r="G67" s="1"/>
      <c r="L67" s="2"/>
      <c r="M67" s="6"/>
      <c r="N67" s="6"/>
      <c r="O67" s="6"/>
      <c r="P67" s="6"/>
      <c r="Q67" s="6"/>
      <c r="R67" s="6"/>
      <c r="S67" s="6"/>
      <c r="T67" s="1"/>
    </row>
    <row r="68" spans="1:20" x14ac:dyDescent="0.3">
      <c r="A68" s="2"/>
      <c r="B68" s="6"/>
      <c r="C68" s="6"/>
      <c r="D68" s="6"/>
      <c r="E68" s="6"/>
      <c r="F68" s="6"/>
      <c r="G68" s="1"/>
      <c r="L68" s="2"/>
      <c r="M68" s="6"/>
      <c r="N68" s="6"/>
      <c r="O68" s="6"/>
      <c r="P68" s="6"/>
      <c r="Q68" s="6"/>
      <c r="R68" s="6"/>
      <c r="S68" s="6"/>
      <c r="T68" s="1"/>
    </row>
    <row r="69" spans="1:20" x14ac:dyDescent="0.3">
      <c r="A69" s="2"/>
      <c r="B69" s="6"/>
      <c r="C69" s="6"/>
      <c r="D69" s="6"/>
      <c r="E69" s="6"/>
      <c r="F69" s="6"/>
      <c r="G69" s="1"/>
      <c r="L69" s="2"/>
      <c r="M69" s="6"/>
      <c r="N69" s="6"/>
      <c r="O69" s="6"/>
      <c r="P69" s="6"/>
      <c r="Q69" s="6"/>
      <c r="R69" s="6"/>
      <c r="S69" s="6"/>
      <c r="T69" s="1"/>
    </row>
    <row r="70" spans="1:20" x14ac:dyDescent="0.3">
      <c r="A70" s="2"/>
      <c r="B70" s="6"/>
      <c r="C70" s="6"/>
      <c r="D70" s="6"/>
      <c r="E70" s="6"/>
      <c r="F70" s="6"/>
      <c r="G70" s="1"/>
      <c r="L70" s="2"/>
      <c r="M70" s="6"/>
      <c r="N70" s="6"/>
      <c r="O70" s="6"/>
      <c r="P70" s="6"/>
      <c r="Q70" s="6"/>
      <c r="R70" s="6"/>
      <c r="S70" s="6"/>
      <c r="T70" s="1"/>
    </row>
    <row r="71" spans="1:20" x14ac:dyDescent="0.3">
      <c r="A71" s="2"/>
      <c r="B71" s="6"/>
      <c r="C71" s="6"/>
      <c r="D71" s="6"/>
      <c r="E71" s="6"/>
      <c r="F71" s="6"/>
      <c r="G71" s="1"/>
      <c r="L71" s="2"/>
      <c r="M71" s="6"/>
      <c r="N71" s="6"/>
      <c r="O71" s="6"/>
      <c r="P71" s="6"/>
      <c r="Q71" s="6"/>
      <c r="R71" s="6"/>
      <c r="S71" s="6"/>
      <c r="T71" s="1"/>
    </row>
    <row r="72" spans="1:20" x14ac:dyDescent="0.3">
      <c r="A72" s="2"/>
      <c r="B72" s="6"/>
      <c r="C72" s="6"/>
      <c r="D72" s="6"/>
      <c r="E72" s="6"/>
      <c r="F72" s="6"/>
      <c r="G72" s="1"/>
      <c r="L72" s="2"/>
      <c r="M72" s="6"/>
      <c r="N72" s="6"/>
      <c r="O72" s="6"/>
      <c r="P72" s="6"/>
      <c r="Q72" s="6"/>
      <c r="R72" s="6"/>
      <c r="S72" s="6"/>
      <c r="T72" s="1"/>
    </row>
    <row r="73" spans="1:20" x14ac:dyDescent="0.3">
      <c r="A73" s="2"/>
      <c r="B73" s="6"/>
      <c r="C73" s="6"/>
      <c r="D73" s="6"/>
      <c r="E73" s="6"/>
      <c r="F73" s="6"/>
      <c r="G73" s="1"/>
      <c r="L73" s="2"/>
      <c r="M73" s="6"/>
      <c r="N73" s="6"/>
      <c r="O73" s="6"/>
      <c r="P73" s="6"/>
      <c r="Q73" s="6"/>
      <c r="R73" s="6"/>
      <c r="S73" s="6"/>
      <c r="T73" s="1"/>
    </row>
    <row r="74" spans="1:20" x14ac:dyDescent="0.3">
      <c r="A74" s="2"/>
      <c r="B74" s="6"/>
      <c r="C74" s="6"/>
      <c r="D74" s="6"/>
      <c r="E74" s="6"/>
      <c r="F74" s="6"/>
      <c r="G74" s="1"/>
      <c r="L74" s="2"/>
      <c r="M74" s="6"/>
      <c r="N74" s="6"/>
      <c r="O74" s="6"/>
      <c r="P74" s="6"/>
      <c r="Q74" s="6"/>
      <c r="R74" s="6"/>
      <c r="S74" s="6"/>
      <c r="T74" s="1"/>
    </row>
    <row r="75" spans="1:20" x14ac:dyDescent="0.3">
      <c r="A75" s="2"/>
      <c r="B75" s="6"/>
      <c r="C75" s="6"/>
      <c r="D75" s="6"/>
      <c r="E75" s="6"/>
      <c r="F75" s="6"/>
      <c r="G75" s="1"/>
      <c r="L75" s="2"/>
      <c r="M75" s="6"/>
      <c r="N75" s="6"/>
      <c r="O75" s="6"/>
      <c r="P75" s="6"/>
      <c r="Q75" s="6"/>
      <c r="R75" s="6"/>
      <c r="S75" s="6"/>
      <c r="T75" s="1"/>
    </row>
    <row r="76" spans="1:20" x14ac:dyDescent="0.3">
      <c r="A76" s="2"/>
      <c r="B76" s="6"/>
      <c r="C76" s="6"/>
      <c r="D76" s="6"/>
      <c r="E76" s="6"/>
      <c r="F76" s="6"/>
      <c r="G76" s="1"/>
      <c r="L76" s="2"/>
      <c r="M76" s="6"/>
      <c r="N76" s="6"/>
      <c r="O76" s="6"/>
      <c r="P76" s="6"/>
      <c r="Q76" s="6"/>
      <c r="R76" s="6"/>
      <c r="S76" s="6"/>
      <c r="T76" s="1"/>
    </row>
    <row r="77" spans="1:20" x14ac:dyDescent="0.3">
      <c r="A77" s="2"/>
      <c r="B77" s="6"/>
      <c r="C77" s="6"/>
      <c r="D77" s="6"/>
      <c r="E77" s="6"/>
      <c r="F77" s="6"/>
      <c r="G77" s="1"/>
      <c r="L77" s="2"/>
      <c r="M77" s="6"/>
      <c r="N77" s="6"/>
      <c r="O77" s="6"/>
      <c r="P77" s="6"/>
      <c r="Q77" s="6"/>
      <c r="R77" s="6"/>
      <c r="S77" s="6"/>
      <c r="T77" s="1"/>
    </row>
    <row r="78" spans="1:20" x14ac:dyDescent="0.3">
      <c r="A78" s="2"/>
      <c r="B78" s="6"/>
      <c r="C78" s="6"/>
      <c r="D78" s="6"/>
      <c r="E78" s="6"/>
      <c r="F78" s="6"/>
      <c r="G78" s="1"/>
      <c r="L78" s="2"/>
      <c r="M78" s="6"/>
      <c r="N78" s="6"/>
      <c r="O78" s="6"/>
      <c r="P78" s="6"/>
      <c r="Q78" s="6"/>
      <c r="R78" s="6"/>
      <c r="S78" s="6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1"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RunPython_Main1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RunPython_Main3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unPython_Main2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jhpark</cp:lastModifiedBy>
  <dcterms:created xsi:type="dcterms:W3CDTF">2025-02-26T04:01:33Z</dcterms:created>
  <dcterms:modified xsi:type="dcterms:W3CDTF">2025-02-28T07:56:03Z</dcterms:modified>
</cp:coreProperties>
</file>